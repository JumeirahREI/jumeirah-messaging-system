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1660D35A-8F05-47F7-8AE3-8A8B0E14C3E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برجB   " sheetId="6" r:id="rId1"/>
    <sheet name="برجA" sheetId="2" r:id="rId2"/>
    <sheet name="الخدمات" sheetId="3" r:id="rId3"/>
  </sheets>
  <definedNames>
    <definedName name="_xlnm._FilterDatabase" localSheetId="2" hidden="1">الخدمات!$A$1:$O$167</definedName>
    <definedName name="_xlnm._FilterDatabase" localSheetId="1" hidden="1">برجA!$A$1:$T$909</definedName>
    <definedName name="_xlnm._FilterDatabase" localSheetId="0" hidden="1">'برجB   '!$A$1:$O$594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01" i="2" l="1"/>
  <c r="O901" i="2" s="1"/>
  <c r="M891" i="2"/>
  <c r="O891" i="2" s="1"/>
  <c r="M881" i="2"/>
  <c r="O881" i="2" s="1"/>
  <c r="M808" i="2"/>
  <c r="O808" i="2" s="1"/>
  <c r="M751" i="2"/>
  <c r="O751" i="2" s="1"/>
  <c r="M731" i="2"/>
  <c r="O731" i="2" s="1"/>
  <c r="M721" i="2"/>
  <c r="O721" i="2" s="1"/>
  <c r="M702" i="2"/>
  <c r="O702" i="2" s="1"/>
  <c r="M691" i="2"/>
  <c r="O691" i="2" s="1"/>
  <c r="M608" i="2"/>
  <c r="O608" i="2" s="1"/>
  <c r="M509" i="2"/>
  <c r="O509" i="2" s="1"/>
  <c r="M430" i="2"/>
  <c r="O430" i="2" s="1"/>
  <c r="M404" i="2"/>
  <c r="O404" i="2" s="1"/>
  <c r="M306" i="2"/>
  <c r="O306" i="2" s="1"/>
  <c r="M201" i="2"/>
  <c r="O201" i="2" s="1"/>
  <c r="M170" i="2"/>
  <c r="O170" i="2" s="1"/>
  <c r="M107" i="2"/>
  <c r="O107" i="2" s="1"/>
  <c r="M90" i="2"/>
  <c r="O90" i="2" s="1"/>
  <c r="I657" i="2"/>
  <c r="I648" i="2"/>
  <c r="I627" i="2"/>
  <c r="I2" i="6" l="1"/>
  <c r="M2" i="6" s="1"/>
  <c r="O2" i="6" s="1"/>
  <c r="I3" i="6"/>
  <c r="M3" i="6" s="1"/>
  <c r="O3" i="6" s="1"/>
  <c r="M4" i="6"/>
  <c r="O4" i="6" s="1"/>
  <c r="M5" i="6"/>
  <c r="O5" i="6" s="1"/>
  <c r="M6" i="6"/>
  <c r="O6" i="6" s="1"/>
  <c r="M7" i="6"/>
  <c r="O7" i="6"/>
  <c r="I11" i="6"/>
  <c r="M11" i="6" s="1"/>
  <c r="O11" i="6" s="1"/>
  <c r="I12" i="6"/>
  <c r="M12" i="6" s="1"/>
  <c r="O12" i="6" s="1"/>
  <c r="M13" i="6"/>
  <c r="O13" i="6" s="1"/>
  <c r="M14" i="6"/>
  <c r="O14" i="6" s="1"/>
  <c r="M15" i="6"/>
  <c r="O15" i="6" s="1"/>
  <c r="M16" i="6"/>
  <c r="O16" i="6"/>
  <c r="I20" i="6"/>
  <c r="M20" i="6" s="1"/>
  <c r="O20" i="6" s="1"/>
  <c r="I21" i="6"/>
  <c r="M21" i="6" s="1"/>
  <c r="O21" i="6" s="1"/>
  <c r="M22" i="6"/>
  <c r="O22" i="6" s="1"/>
  <c r="M23" i="6"/>
  <c r="O23" i="6" s="1"/>
  <c r="M24" i="6"/>
  <c r="O24" i="6" s="1"/>
  <c r="M25" i="6"/>
  <c r="O25" i="6"/>
  <c r="I29" i="6"/>
  <c r="M29" i="6" s="1"/>
  <c r="O29" i="6" s="1"/>
  <c r="I30" i="6"/>
  <c r="M30" i="6" s="1"/>
  <c r="O30" i="6" s="1"/>
  <c r="M31" i="6"/>
  <c r="O31" i="6" s="1"/>
  <c r="M32" i="6"/>
  <c r="O32" i="6" s="1"/>
  <c r="M33" i="6"/>
  <c r="O33" i="6" s="1"/>
  <c r="M34" i="6"/>
  <c r="O34" i="6"/>
  <c r="I38" i="6"/>
  <c r="M38" i="6" s="1"/>
  <c r="O38" i="6" s="1"/>
  <c r="I39" i="6"/>
  <c r="M39" i="6" s="1"/>
  <c r="O39" i="6" s="1"/>
  <c r="M40" i="6"/>
  <c r="O40" i="6" s="1"/>
  <c r="M41" i="6"/>
  <c r="O41" i="6" s="1"/>
  <c r="M42" i="6"/>
  <c r="O42" i="6" s="1"/>
  <c r="M43" i="6"/>
  <c r="O43" i="6"/>
  <c r="I47" i="6"/>
  <c r="M47" i="6" s="1"/>
  <c r="O47" i="6" s="1"/>
  <c r="I48" i="6"/>
  <c r="M48" i="6" s="1"/>
  <c r="O48" i="6" s="1"/>
  <c r="M49" i="6"/>
  <c r="O49" i="6" s="1"/>
  <c r="M50" i="6"/>
  <c r="O50" i="6" s="1"/>
  <c r="M51" i="6"/>
  <c r="O51" i="6" s="1"/>
  <c r="M52" i="6"/>
  <c r="O52" i="6"/>
  <c r="I56" i="6"/>
  <c r="M56" i="6" s="1"/>
  <c r="O56" i="6" s="1"/>
  <c r="I57" i="6"/>
  <c r="M57" i="6" s="1"/>
  <c r="O57" i="6" s="1"/>
  <c r="M58" i="6"/>
  <c r="O58" i="6" s="1"/>
  <c r="M59" i="6"/>
  <c r="O59" i="6" s="1"/>
  <c r="M60" i="6"/>
  <c r="O60" i="6" s="1"/>
  <c r="M61" i="6"/>
  <c r="O61" i="6"/>
  <c r="I65" i="6"/>
  <c r="M65" i="6" s="1"/>
  <c r="O65" i="6" s="1"/>
  <c r="I66" i="6"/>
  <c r="M66" i="6" s="1"/>
  <c r="O66" i="6" s="1"/>
  <c r="M67" i="6"/>
  <c r="O67" i="6" s="1"/>
  <c r="M68" i="6"/>
  <c r="O68" i="6" s="1"/>
  <c r="M69" i="6"/>
  <c r="O69" i="6" s="1"/>
  <c r="M70" i="6"/>
  <c r="O70" i="6"/>
  <c r="I80" i="6"/>
  <c r="M80" i="6" s="1"/>
  <c r="O80" i="6" s="1"/>
  <c r="I81" i="6"/>
  <c r="M81" i="6" s="1"/>
  <c r="O81" i="6" s="1"/>
  <c r="M82" i="6"/>
  <c r="O82" i="6" s="1"/>
  <c r="M83" i="6"/>
  <c r="O83" i="6" s="1"/>
  <c r="M84" i="6"/>
  <c r="O84" i="6" s="1"/>
  <c r="M85" i="6"/>
  <c r="O85" i="6"/>
  <c r="I89" i="6"/>
  <c r="M89" i="6" s="1"/>
  <c r="O89" i="6" s="1"/>
  <c r="I90" i="6"/>
  <c r="M90" i="6" s="1"/>
  <c r="O90" i="6" s="1"/>
  <c r="M91" i="6"/>
  <c r="O91" i="6" s="1"/>
  <c r="M92" i="6"/>
  <c r="O92" i="6" s="1"/>
  <c r="M93" i="6"/>
  <c r="O93" i="6" s="1"/>
  <c r="M94" i="6"/>
  <c r="O94" i="6"/>
  <c r="I98" i="6"/>
  <c r="M98" i="6" s="1"/>
  <c r="O98" i="6" s="1"/>
  <c r="I99" i="6"/>
  <c r="M99" i="6" s="1"/>
  <c r="O99" i="6" s="1"/>
  <c r="M100" i="6"/>
  <c r="O100" i="6" s="1"/>
  <c r="M101" i="6"/>
  <c r="O101" i="6" s="1"/>
  <c r="M102" i="6"/>
  <c r="O102" i="6" s="1"/>
  <c r="M103" i="6"/>
  <c r="O103" i="6"/>
  <c r="I107" i="6"/>
  <c r="M107" i="6" s="1"/>
  <c r="O107" i="6" s="1"/>
  <c r="I108" i="6"/>
  <c r="M108" i="6" s="1"/>
  <c r="O108" i="6" s="1"/>
  <c r="M109" i="6"/>
  <c r="O109" i="6" s="1"/>
  <c r="M110" i="6"/>
  <c r="O110" i="6" s="1"/>
  <c r="M111" i="6"/>
  <c r="O111" i="6" s="1"/>
  <c r="M112" i="6"/>
  <c r="O112" i="6"/>
  <c r="I116" i="6"/>
  <c r="M116" i="6" s="1"/>
  <c r="O116" i="6" s="1"/>
  <c r="I117" i="6"/>
  <c r="M117" i="6" s="1"/>
  <c r="O117" i="6" s="1"/>
  <c r="M118" i="6"/>
  <c r="O118" i="6" s="1"/>
  <c r="M119" i="6"/>
  <c r="O119" i="6" s="1"/>
  <c r="M120" i="6"/>
  <c r="O120" i="6" s="1"/>
  <c r="M121" i="6"/>
  <c r="O121" i="6"/>
  <c r="I125" i="6"/>
  <c r="M125" i="6" s="1"/>
  <c r="O125" i="6" s="1"/>
  <c r="I126" i="6"/>
  <c r="M126" i="6" s="1"/>
  <c r="O126" i="6" s="1"/>
  <c r="M127" i="6"/>
  <c r="O127" i="6" s="1"/>
  <c r="M128" i="6"/>
  <c r="O128" i="6" s="1"/>
  <c r="M129" i="6"/>
  <c r="O129" i="6" s="1"/>
  <c r="M130" i="6"/>
  <c r="O130" i="6"/>
  <c r="I134" i="6"/>
  <c r="M134" i="6" s="1"/>
  <c r="O134" i="6" s="1"/>
  <c r="I135" i="6"/>
  <c r="M135" i="6" s="1"/>
  <c r="O135" i="6" s="1"/>
  <c r="M136" i="6"/>
  <c r="O136" i="6" s="1"/>
  <c r="M137" i="6"/>
  <c r="O137" i="6" s="1"/>
  <c r="M138" i="6"/>
  <c r="O138" i="6" s="1"/>
  <c r="M139" i="6"/>
  <c r="O139" i="6"/>
  <c r="I143" i="6"/>
  <c r="M143" i="6" s="1"/>
  <c r="O143" i="6" s="1"/>
  <c r="I144" i="6"/>
  <c r="M144" i="6" s="1"/>
  <c r="O144" i="6" s="1"/>
  <c r="M145" i="6"/>
  <c r="O145" i="6" s="1"/>
  <c r="M146" i="6"/>
  <c r="O146" i="6" s="1"/>
  <c r="M147" i="6"/>
  <c r="O147" i="6" s="1"/>
  <c r="M148" i="6"/>
  <c r="O148" i="6"/>
  <c r="I152" i="6"/>
  <c r="M152" i="6" s="1"/>
  <c r="O152" i="6" s="1"/>
  <c r="I153" i="6"/>
  <c r="M153" i="6" s="1"/>
  <c r="O153" i="6" s="1"/>
  <c r="M154" i="6"/>
  <c r="O154" i="6" s="1"/>
  <c r="M155" i="6"/>
  <c r="O155" i="6" s="1"/>
  <c r="M156" i="6"/>
  <c r="O156" i="6" s="1"/>
  <c r="M157" i="6"/>
  <c r="O157" i="6"/>
  <c r="I161" i="6"/>
  <c r="M161" i="6" s="1"/>
  <c r="O161" i="6" s="1"/>
  <c r="I162" i="6"/>
  <c r="M162" i="6" s="1"/>
  <c r="O162" i="6" s="1"/>
  <c r="M163" i="6"/>
  <c r="O163" i="6" s="1"/>
  <c r="M164" i="6"/>
  <c r="O164" i="6" s="1"/>
  <c r="M165" i="6"/>
  <c r="O165" i="6" s="1"/>
  <c r="M166" i="6"/>
  <c r="O166" i="6"/>
  <c r="I170" i="6"/>
  <c r="M170" i="6" s="1"/>
  <c r="O170" i="6" s="1"/>
  <c r="I171" i="6"/>
  <c r="M171" i="6" s="1"/>
  <c r="O171" i="6" s="1"/>
  <c r="M172" i="6"/>
  <c r="O172" i="6" s="1"/>
  <c r="M173" i="6"/>
  <c r="O173" i="6" s="1"/>
  <c r="M174" i="6"/>
  <c r="O174" i="6" s="1"/>
  <c r="M175" i="6"/>
  <c r="O175" i="6"/>
  <c r="I179" i="6"/>
  <c r="M179" i="6" s="1"/>
  <c r="O179" i="6" s="1"/>
  <c r="I180" i="6"/>
  <c r="M180" i="6" s="1"/>
  <c r="O180" i="6" s="1"/>
  <c r="M181" i="6"/>
  <c r="O181" i="6" s="1"/>
  <c r="M182" i="6"/>
  <c r="O182" i="6" s="1"/>
  <c r="M183" i="6"/>
  <c r="O183" i="6" s="1"/>
  <c r="M184" i="6"/>
  <c r="O184" i="6"/>
  <c r="I188" i="6"/>
  <c r="M188" i="6" s="1"/>
  <c r="O188" i="6" s="1"/>
  <c r="I189" i="6"/>
  <c r="M189" i="6" s="1"/>
  <c r="O189" i="6" s="1"/>
  <c r="M190" i="6"/>
  <c r="O190" i="6" s="1"/>
  <c r="M191" i="6"/>
  <c r="O191" i="6" s="1"/>
  <c r="M192" i="6"/>
  <c r="O192" i="6" s="1"/>
  <c r="M193" i="6"/>
  <c r="O193" i="6"/>
  <c r="I197" i="6"/>
  <c r="M197" i="6" s="1"/>
  <c r="O197" i="6" s="1"/>
  <c r="I198" i="6"/>
  <c r="M198" i="6" s="1"/>
  <c r="O198" i="6" s="1"/>
  <c r="M199" i="6"/>
  <c r="O199" i="6" s="1"/>
  <c r="M200" i="6"/>
  <c r="O200" i="6" s="1"/>
  <c r="M201" i="6"/>
  <c r="O201" i="6" s="1"/>
  <c r="M202" i="6"/>
  <c r="O202" i="6"/>
  <c r="I206" i="6"/>
  <c r="M206" i="6" s="1"/>
  <c r="O206" i="6" s="1"/>
  <c r="I207" i="6"/>
  <c r="M207" i="6" s="1"/>
  <c r="O207" i="6" s="1"/>
  <c r="M208" i="6"/>
  <c r="O208" i="6" s="1"/>
  <c r="M209" i="6"/>
  <c r="O209" i="6" s="1"/>
  <c r="M210" i="6"/>
  <c r="O210" i="6" s="1"/>
  <c r="M211" i="6"/>
  <c r="O211" i="6"/>
  <c r="I215" i="6"/>
  <c r="M215" i="6" s="1"/>
  <c r="O215" i="6" s="1"/>
  <c r="I216" i="6"/>
  <c r="M216" i="6" s="1"/>
  <c r="O216" i="6" s="1"/>
  <c r="M217" i="6"/>
  <c r="O217" i="6" s="1"/>
  <c r="M218" i="6"/>
  <c r="O218" i="6" s="1"/>
  <c r="M219" i="6"/>
  <c r="O219" i="6" s="1"/>
  <c r="M220" i="6"/>
  <c r="O220" i="6"/>
  <c r="I224" i="6"/>
  <c r="M224" i="6" s="1"/>
  <c r="O224" i="6" s="1"/>
  <c r="I225" i="6"/>
  <c r="M225" i="6" s="1"/>
  <c r="O225" i="6" s="1"/>
  <c r="M226" i="6"/>
  <c r="O226" i="6" s="1"/>
  <c r="M227" i="6"/>
  <c r="O227" i="6" s="1"/>
  <c r="M228" i="6"/>
  <c r="O228" i="6" s="1"/>
  <c r="M229" i="6"/>
  <c r="O229" i="6"/>
  <c r="I233" i="6"/>
  <c r="M233" i="6" s="1"/>
  <c r="O233" i="6" s="1"/>
  <c r="I234" i="6"/>
  <c r="M234" i="6" s="1"/>
  <c r="O234" i="6" s="1"/>
  <c r="M235" i="6"/>
  <c r="O235" i="6" s="1"/>
  <c r="M236" i="6"/>
  <c r="O236" i="6" s="1"/>
  <c r="M237" i="6"/>
  <c r="O237" i="6" s="1"/>
  <c r="M238" i="6"/>
  <c r="O238" i="6"/>
  <c r="I241" i="6"/>
  <c r="M241" i="6" s="1"/>
  <c r="O241" i="6" s="1"/>
  <c r="I242" i="6"/>
  <c r="M242" i="6" s="1"/>
  <c r="O242" i="6" s="1"/>
  <c r="M243" i="6"/>
  <c r="O243" i="6" s="1"/>
  <c r="M244" i="6"/>
  <c r="O244" i="6" s="1"/>
  <c r="M245" i="6"/>
  <c r="O245" i="6" s="1"/>
  <c r="M246" i="6"/>
  <c r="O246" i="6"/>
  <c r="I249" i="6"/>
  <c r="M249" i="6" s="1"/>
  <c r="O249" i="6" s="1"/>
  <c r="I250" i="6"/>
  <c r="M250" i="6" s="1"/>
  <c r="O250" i="6" s="1"/>
  <c r="M251" i="6"/>
  <c r="O251" i="6" s="1"/>
  <c r="M252" i="6"/>
  <c r="O252" i="6" s="1"/>
  <c r="M253" i="6"/>
  <c r="O253" i="6" s="1"/>
  <c r="M254" i="6"/>
  <c r="O254" i="6"/>
  <c r="I257" i="6"/>
  <c r="M257" i="6" s="1"/>
  <c r="O257" i="6" s="1"/>
  <c r="I258" i="6"/>
  <c r="M258" i="6" s="1"/>
  <c r="O258" i="6" s="1"/>
  <c r="M259" i="6"/>
  <c r="O259" i="6" s="1"/>
  <c r="M260" i="6"/>
  <c r="O260" i="6" s="1"/>
  <c r="M261" i="6"/>
  <c r="O261" i="6" s="1"/>
  <c r="M262" i="6"/>
  <c r="O262" i="6"/>
  <c r="I266" i="6"/>
  <c r="M266" i="6" s="1"/>
  <c r="O266" i="6" s="1"/>
  <c r="I267" i="6"/>
  <c r="M267" i="6" s="1"/>
  <c r="O267" i="6" s="1"/>
  <c r="M268" i="6"/>
  <c r="O268" i="6" s="1"/>
  <c r="M269" i="6"/>
  <c r="O269" i="6" s="1"/>
  <c r="M270" i="6"/>
  <c r="O270" i="6" s="1"/>
  <c r="M271" i="6"/>
  <c r="O271" i="6"/>
  <c r="I275" i="6"/>
  <c r="M275" i="6" s="1"/>
  <c r="O275" i="6" s="1"/>
  <c r="I276" i="6"/>
  <c r="M276" i="6" s="1"/>
  <c r="O276" i="6" s="1"/>
  <c r="M277" i="6"/>
  <c r="O277" i="6" s="1"/>
  <c r="M278" i="6"/>
  <c r="O278" i="6" s="1"/>
  <c r="M279" i="6"/>
  <c r="O279" i="6" s="1"/>
  <c r="M280" i="6"/>
  <c r="O280" i="6"/>
  <c r="I284" i="6"/>
  <c r="M284" i="6" s="1"/>
  <c r="O284" i="6" s="1"/>
  <c r="I285" i="6"/>
  <c r="M285" i="6" s="1"/>
  <c r="O285" i="6" s="1"/>
  <c r="M286" i="6"/>
  <c r="O286" i="6" s="1"/>
  <c r="M287" i="6"/>
  <c r="O287" i="6" s="1"/>
  <c r="M288" i="6"/>
  <c r="O288" i="6" s="1"/>
  <c r="M289" i="6"/>
  <c r="O289" i="6"/>
  <c r="I293" i="6"/>
  <c r="M293" i="6" s="1"/>
  <c r="O293" i="6" s="1"/>
  <c r="I294" i="6"/>
  <c r="M294" i="6" s="1"/>
  <c r="O294" i="6" s="1"/>
  <c r="M295" i="6"/>
  <c r="O295" i="6" s="1"/>
  <c r="M296" i="6"/>
  <c r="O296" i="6" s="1"/>
  <c r="M297" i="6"/>
  <c r="O297" i="6" s="1"/>
  <c r="M298" i="6"/>
  <c r="O298" i="6"/>
  <c r="I302" i="6"/>
  <c r="M302" i="6" s="1"/>
  <c r="O302" i="6" s="1"/>
  <c r="I303" i="6"/>
  <c r="M303" i="6" s="1"/>
  <c r="O303" i="6" s="1"/>
  <c r="M304" i="6"/>
  <c r="O304" i="6" s="1"/>
  <c r="M305" i="6"/>
  <c r="O305" i="6" s="1"/>
  <c r="M306" i="6"/>
  <c r="O306" i="6" s="1"/>
  <c r="M307" i="6"/>
  <c r="O307" i="6"/>
  <c r="I311" i="6"/>
  <c r="M311" i="6" s="1"/>
  <c r="O311" i="6" s="1"/>
  <c r="I312" i="6"/>
  <c r="M312" i="6" s="1"/>
  <c r="O312" i="6" s="1"/>
  <c r="M313" i="6"/>
  <c r="O313" i="6" s="1"/>
  <c r="M314" i="6"/>
  <c r="O314" i="6" s="1"/>
  <c r="M315" i="6"/>
  <c r="O315" i="6" s="1"/>
  <c r="M316" i="6"/>
  <c r="O316" i="6"/>
  <c r="I320" i="6"/>
  <c r="M320" i="6" s="1"/>
  <c r="O320" i="6" s="1"/>
  <c r="I321" i="6"/>
  <c r="M321" i="6" s="1"/>
  <c r="O321" i="6" s="1"/>
  <c r="M322" i="6"/>
  <c r="O322" i="6" s="1"/>
  <c r="M323" i="6"/>
  <c r="O323" i="6" s="1"/>
  <c r="M324" i="6"/>
  <c r="O324" i="6" s="1"/>
  <c r="M325" i="6"/>
  <c r="O325" i="6"/>
  <c r="I329" i="6"/>
  <c r="M329" i="6" s="1"/>
  <c r="O329" i="6" s="1"/>
  <c r="I330" i="6"/>
  <c r="M330" i="6" s="1"/>
  <c r="O330" i="6" s="1"/>
  <c r="M331" i="6"/>
  <c r="O331" i="6" s="1"/>
  <c r="M332" i="6"/>
  <c r="O332" i="6" s="1"/>
  <c r="M333" i="6"/>
  <c r="O333" i="6" s="1"/>
  <c r="M334" i="6"/>
  <c r="O334" i="6"/>
  <c r="I338" i="6"/>
  <c r="M338" i="6" s="1"/>
  <c r="O338" i="6" s="1"/>
  <c r="I339" i="6"/>
  <c r="M339" i="6" s="1"/>
  <c r="O339" i="6" s="1"/>
  <c r="M340" i="6"/>
  <c r="O340" i="6" s="1"/>
  <c r="M341" i="6"/>
  <c r="O341" i="6" s="1"/>
  <c r="M342" i="6"/>
  <c r="O342" i="6" s="1"/>
  <c r="M343" i="6"/>
  <c r="O343" i="6"/>
  <c r="I347" i="6"/>
  <c r="M347" i="6" s="1"/>
  <c r="O347" i="6" s="1"/>
  <c r="I348" i="6"/>
  <c r="M348" i="6" s="1"/>
  <c r="O348" i="6" s="1"/>
  <c r="M349" i="6"/>
  <c r="O349" i="6" s="1"/>
  <c r="M350" i="6"/>
  <c r="O350" i="6" s="1"/>
  <c r="M351" i="6"/>
  <c r="O351" i="6" s="1"/>
  <c r="M352" i="6"/>
  <c r="O352" i="6"/>
  <c r="I356" i="6"/>
  <c r="M356" i="6" s="1"/>
  <c r="O356" i="6" s="1"/>
  <c r="I357" i="6"/>
  <c r="M357" i="6" s="1"/>
  <c r="O357" i="6" s="1"/>
  <c r="M358" i="6"/>
  <c r="O358" i="6" s="1"/>
  <c r="M359" i="6"/>
  <c r="O359" i="6" s="1"/>
  <c r="M360" i="6"/>
  <c r="O360" i="6" s="1"/>
  <c r="M361" i="6"/>
  <c r="O361" i="6"/>
  <c r="I365" i="6"/>
  <c r="M365" i="6" s="1"/>
  <c r="O365" i="6" s="1"/>
  <c r="I366" i="6"/>
  <c r="M366" i="6" s="1"/>
  <c r="O366" i="6" s="1"/>
  <c r="M367" i="6"/>
  <c r="O367" i="6" s="1"/>
  <c r="M368" i="6"/>
  <c r="O368" i="6" s="1"/>
  <c r="M369" i="6"/>
  <c r="O369" i="6" s="1"/>
  <c r="M370" i="6"/>
  <c r="O370" i="6"/>
  <c r="I374" i="6"/>
  <c r="M374" i="6" s="1"/>
  <c r="O374" i="6" s="1"/>
  <c r="I375" i="6"/>
  <c r="M375" i="6" s="1"/>
  <c r="O375" i="6" s="1"/>
  <c r="M376" i="6"/>
  <c r="O376" i="6" s="1"/>
  <c r="M377" i="6"/>
  <c r="O377" i="6" s="1"/>
  <c r="M378" i="6"/>
  <c r="O378" i="6" s="1"/>
  <c r="M379" i="6"/>
  <c r="O379" i="6"/>
  <c r="I383" i="6"/>
  <c r="M383" i="6" s="1"/>
  <c r="O383" i="6" s="1"/>
  <c r="I384" i="6"/>
  <c r="M384" i="6" s="1"/>
  <c r="O384" i="6" s="1"/>
  <c r="M385" i="6"/>
  <c r="O385" i="6" s="1"/>
  <c r="M386" i="6"/>
  <c r="O386" i="6" s="1"/>
  <c r="M387" i="6"/>
  <c r="O387" i="6" s="1"/>
  <c r="M388" i="6"/>
  <c r="O388" i="6"/>
  <c r="I392" i="6"/>
  <c r="M392" i="6" s="1"/>
  <c r="O392" i="6" s="1"/>
  <c r="I393" i="6"/>
  <c r="M393" i="6" s="1"/>
  <c r="O393" i="6" s="1"/>
  <c r="M394" i="6"/>
  <c r="O394" i="6" s="1"/>
  <c r="M395" i="6"/>
  <c r="O395" i="6" s="1"/>
  <c r="M396" i="6"/>
  <c r="O396" i="6" s="1"/>
  <c r="M397" i="6"/>
  <c r="O397" i="6"/>
  <c r="I401" i="6"/>
  <c r="M401" i="6" s="1"/>
  <c r="O401" i="6" s="1"/>
  <c r="I402" i="6"/>
  <c r="M402" i="6" s="1"/>
  <c r="O402" i="6" s="1"/>
  <c r="M403" i="6"/>
  <c r="O403" i="6" s="1"/>
  <c r="M404" i="6"/>
  <c r="O404" i="6" s="1"/>
  <c r="M405" i="6"/>
  <c r="O405" i="6" s="1"/>
  <c r="M406" i="6"/>
  <c r="O406" i="6"/>
  <c r="I410" i="6"/>
  <c r="M410" i="6" s="1"/>
  <c r="O410" i="6" s="1"/>
  <c r="I411" i="6"/>
  <c r="M411" i="6" s="1"/>
  <c r="O411" i="6" s="1"/>
  <c r="M412" i="6"/>
  <c r="O412" i="6" s="1"/>
  <c r="M413" i="6"/>
  <c r="O413" i="6" s="1"/>
  <c r="M414" i="6"/>
  <c r="O414" i="6" s="1"/>
  <c r="M415" i="6"/>
  <c r="O415" i="6"/>
  <c r="I419" i="6"/>
  <c r="M419" i="6" s="1"/>
  <c r="O419" i="6" s="1"/>
  <c r="I420" i="6"/>
  <c r="M420" i="6" s="1"/>
  <c r="O420" i="6" s="1"/>
  <c r="M421" i="6"/>
  <c r="O421" i="6" s="1"/>
  <c r="M422" i="6"/>
  <c r="O422" i="6" s="1"/>
  <c r="M423" i="6"/>
  <c r="O423" i="6" s="1"/>
  <c r="M424" i="6"/>
  <c r="O424" i="6"/>
  <c r="I428" i="6"/>
  <c r="M428" i="6" s="1"/>
  <c r="O428" i="6" s="1"/>
  <c r="I429" i="6"/>
  <c r="M429" i="6" s="1"/>
  <c r="O429" i="6" s="1"/>
  <c r="M430" i="6"/>
  <c r="O430" i="6" s="1"/>
  <c r="M431" i="6"/>
  <c r="O431" i="6" s="1"/>
  <c r="M432" i="6"/>
  <c r="O432" i="6" s="1"/>
  <c r="M433" i="6"/>
  <c r="O433" i="6"/>
  <c r="I437" i="6"/>
  <c r="M437" i="6" s="1"/>
  <c r="O437" i="6" s="1"/>
  <c r="I438" i="6"/>
  <c r="M438" i="6" s="1"/>
  <c r="O438" i="6" s="1"/>
  <c r="M439" i="6"/>
  <c r="O439" i="6" s="1"/>
  <c r="M440" i="6"/>
  <c r="O440" i="6" s="1"/>
  <c r="M441" i="6"/>
  <c r="O441" i="6" s="1"/>
  <c r="M442" i="6"/>
  <c r="O442" i="6"/>
  <c r="I446" i="6"/>
  <c r="M446" i="6" s="1"/>
  <c r="O446" i="6" s="1"/>
  <c r="I447" i="6"/>
  <c r="M447" i="6" s="1"/>
  <c r="O447" i="6" s="1"/>
  <c r="M448" i="6"/>
  <c r="O448" i="6" s="1"/>
  <c r="M449" i="6"/>
  <c r="O449" i="6" s="1"/>
  <c r="M450" i="6"/>
  <c r="O450" i="6" s="1"/>
  <c r="M451" i="6"/>
  <c r="O451" i="6"/>
  <c r="I455" i="6"/>
  <c r="M455" i="6" s="1"/>
  <c r="O455" i="6" s="1"/>
  <c r="I456" i="6"/>
  <c r="M456" i="6" s="1"/>
  <c r="O456" i="6" s="1"/>
  <c r="M457" i="6"/>
  <c r="O457" i="6" s="1"/>
  <c r="M458" i="6"/>
  <c r="O458" i="6" s="1"/>
  <c r="M459" i="6"/>
  <c r="O459" i="6" s="1"/>
  <c r="M460" i="6"/>
  <c r="O460" i="6"/>
  <c r="I465" i="6"/>
  <c r="M465" i="6" s="1"/>
  <c r="O465" i="6" s="1"/>
  <c r="I466" i="6"/>
  <c r="M466" i="6" s="1"/>
  <c r="O466" i="6" s="1"/>
  <c r="M467" i="6"/>
  <c r="O467" i="6" s="1"/>
  <c r="M468" i="6"/>
  <c r="O468" i="6" s="1"/>
  <c r="M469" i="6"/>
  <c r="O469" i="6" s="1"/>
  <c r="M470" i="6"/>
  <c r="O470" i="6"/>
  <c r="I474" i="6"/>
  <c r="M474" i="6" s="1"/>
  <c r="O474" i="6" s="1"/>
  <c r="I475" i="6"/>
  <c r="M475" i="6" s="1"/>
  <c r="O475" i="6" s="1"/>
  <c r="M476" i="6"/>
  <c r="O476" i="6" s="1"/>
  <c r="M477" i="6"/>
  <c r="O477" i="6" s="1"/>
  <c r="M478" i="6"/>
  <c r="O478" i="6" s="1"/>
  <c r="M479" i="6"/>
  <c r="O479" i="6"/>
  <c r="I483" i="6"/>
  <c r="M483" i="6" s="1"/>
  <c r="O483" i="6" s="1"/>
  <c r="I484" i="6"/>
  <c r="M484" i="6" s="1"/>
  <c r="O484" i="6" s="1"/>
  <c r="M485" i="6"/>
  <c r="O485" i="6" s="1"/>
  <c r="M486" i="6"/>
  <c r="O486" i="6" s="1"/>
  <c r="M487" i="6"/>
  <c r="O487" i="6" s="1"/>
  <c r="M488" i="6"/>
  <c r="O488" i="6"/>
  <c r="I492" i="6"/>
  <c r="M492" i="6" s="1"/>
  <c r="O492" i="6" s="1"/>
  <c r="I493" i="6"/>
  <c r="M493" i="6" s="1"/>
  <c r="O493" i="6" s="1"/>
  <c r="M494" i="6"/>
  <c r="O494" i="6" s="1"/>
  <c r="M495" i="6"/>
  <c r="O495" i="6" s="1"/>
  <c r="M496" i="6"/>
  <c r="O496" i="6" s="1"/>
  <c r="M497" i="6"/>
  <c r="O497" i="6"/>
  <c r="I502" i="6"/>
  <c r="M502" i="6" s="1"/>
  <c r="O502" i="6" s="1"/>
  <c r="I503" i="6"/>
  <c r="M503" i="6" s="1"/>
  <c r="O503" i="6" s="1"/>
  <c r="M504" i="6"/>
  <c r="O504" i="6" s="1"/>
  <c r="M505" i="6"/>
  <c r="O505" i="6" s="1"/>
  <c r="M506" i="6"/>
  <c r="O506" i="6" s="1"/>
  <c r="M507" i="6"/>
  <c r="O507" i="6"/>
  <c r="I512" i="6"/>
  <c r="M512" i="6" s="1"/>
  <c r="O512" i="6" s="1"/>
  <c r="I513" i="6"/>
  <c r="M513" i="6" s="1"/>
  <c r="O513" i="6" s="1"/>
  <c r="M514" i="6"/>
  <c r="O514" i="6" s="1"/>
  <c r="M515" i="6"/>
  <c r="O515" i="6" s="1"/>
  <c r="M516" i="6"/>
  <c r="O516" i="6" s="1"/>
  <c r="M517" i="6"/>
  <c r="O517" i="6"/>
  <c r="O519" i="6"/>
  <c r="I521" i="6"/>
  <c r="M521" i="6" s="1"/>
  <c r="O521" i="6" s="1"/>
  <c r="I522" i="6"/>
  <c r="M522" i="6" s="1"/>
  <c r="O522" i="6" s="1"/>
  <c r="M523" i="6"/>
  <c r="O523" i="6" s="1"/>
  <c r="M524" i="6"/>
  <c r="O524" i="6" s="1"/>
  <c r="M525" i="6"/>
  <c r="O525" i="6" s="1"/>
  <c r="M526" i="6"/>
  <c r="O526" i="6"/>
  <c r="I530" i="6"/>
  <c r="M530" i="6" s="1"/>
  <c r="O530" i="6" s="1"/>
  <c r="I531" i="6"/>
  <c r="M531" i="6" s="1"/>
  <c r="O531" i="6" s="1"/>
  <c r="M532" i="6"/>
  <c r="O532" i="6" s="1"/>
  <c r="M533" i="6"/>
  <c r="O533" i="6" s="1"/>
  <c r="M534" i="6"/>
  <c r="O534" i="6" s="1"/>
  <c r="M535" i="6"/>
  <c r="O535" i="6"/>
  <c r="I540" i="6"/>
  <c r="M540" i="6" s="1"/>
  <c r="O540" i="6" s="1"/>
  <c r="I541" i="6"/>
  <c r="M541" i="6" s="1"/>
  <c r="O541" i="6" s="1"/>
  <c r="M542" i="6"/>
  <c r="O542" i="6" s="1"/>
  <c r="M543" i="6"/>
  <c r="O543" i="6" s="1"/>
  <c r="M544" i="6"/>
  <c r="O544" i="6" s="1"/>
  <c r="M545" i="6"/>
  <c r="O545" i="6"/>
  <c r="I549" i="6"/>
  <c r="M549" i="6" s="1"/>
  <c r="O549" i="6" s="1"/>
  <c r="I550" i="6"/>
  <c r="M550" i="6" s="1"/>
  <c r="O550" i="6" s="1"/>
  <c r="M551" i="6"/>
  <c r="O551" i="6" s="1"/>
  <c r="M552" i="6"/>
  <c r="O552" i="6" s="1"/>
  <c r="M553" i="6"/>
  <c r="O553" i="6" s="1"/>
  <c r="M554" i="6"/>
  <c r="O554" i="6"/>
  <c r="I559" i="6"/>
  <c r="M559" i="6" s="1"/>
  <c r="O559" i="6" s="1"/>
  <c r="I560" i="6"/>
  <c r="M560" i="6" s="1"/>
  <c r="O560" i="6" s="1"/>
  <c r="M561" i="6"/>
  <c r="O561" i="6" s="1"/>
  <c r="M562" i="6"/>
  <c r="O562" i="6" s="1"/>
  <c r="M563" i="6"/>
  <c r="O563" i="6" s="1"/>
  <c r="M564" i="6"/>
  <c r="O564" i="6"/>
  <c r="I568" i="6"/>
  <c r="M568" i="6" s="1"/>
  <c r="O568" i="6" s="1"/>
  <c r="I569" i="6"/>
  <c r="M569" i="6" s="1"/>
  <c r="O569" i="6" s="1"/>
  <c r="M570" i="6"/>
  <c r="O570" i="6" s="1"/>
  <c r="M571" i="6"/>
  <c r="O571" i="6" s="1"/>
  <c r="M572" i="6"/>
  <c r="O572" i="6" s="1"/>
  <c r="M573" i="6"/>
  <c r="O573" i="6"/>
  <c r="I578" i="6"/>
  <c r="M578" i="6" s="1"/>
  <c r="O578" i="6" s="1"/>
  <c r="I579" i="6"/>
  <c r="M579" i="6" s="1"/>
  <c r="O579" i="6" s="1"/>
  <c r="M580" i="6"/>
  <c r="O580" i="6" s="1"/>
  <c r="I581" i="6"/>
  <c r="M581" i="6" s="1"/>
  <c r="O581" i="6" s="1"/>
  <c r="M582" i="6"/>
  <c r="O582" i="6" s="1"/>
  <c r="M583" i="6"/>
  <c r="O583" i="6"/>
  <c r="I588" i="6"/>
  <c r="M588" i="6" s="1"/>
  <c r="O588" i="6" s="1"/>
  <c r="I589" i="6"/>
  <c r="M589" i="6" s="1"/>
  <c r="O589" i="6" s="1"/>
  <c r="M590" i="6"/>
  <c r="O590" i="6" s="1"/>
  <c r="M591" i="6"/>
  <c r="O591" i="6" s="1"/>
  <c r="M592" i="6"/>
  <c r="O592" i="6" s="1"/>
  <c r="M593" i="6"/>
  <c r="O593" i="6"/>
  <c r="I6" i="3"/>
  <c r="O140" i="6" l="1"/>
  <c r="O536" i="6"/>
  <c r="O380" i="6"/>
  <c r="O290" i="6"/>
  <c r="O176" i="6"/>
  <c r="O26" i="6"/>
  <c r="O565" i="6"/>
  <c r="O416" i="6"/>
  <c r="O498" i="6"/>
  <c r="O443" i="6"/>
  <c r="O398" i="6"/>
  <c r="O335" i="6"/>
  <c r="O317" i="6"/>
  <c r="O281" i="6"/>
  <c r="O272" i="6"/>
  <c r="O239" i="6"/>
  <c r="O194" i="6"/>
  <c r="O149" i="6"/>
  <c r="O131" i="6"/>
  <c r="O95" i="6"/>
  <c r="O44" i="6"/>
  <c r="O594" i="6"/>
  <c r="O574" i="6"/>
  <c r="O555" i="6"/>
  <c r="O452" i="6"/>
  <c r="O434" i="6"/>
  <c r="O389" i="6"/>
  <c r="O344" i="6"/>
  <c r="O255" i="6"/>
  <c r="O247" i="6"/>
  <c r="O203" i="6"/>
  <c r="O113" i="6"/>
  <c r="O104" i="6"/>
  <c r="O53" i="6"/>
  <c r="O546" i="6"/>
  <c r="O489" i="6"/>
  <c r="O471" i="6"/>
  <c r="O425" i="6"/>
  <c r="O353" i="6"/>
  <c r="O308" i="6"/>
  <c r="O212" i="6"/>
  <c r="O167" i="6"/>
  <c r="O62" i="6"/>
  <c r="O17" i="6"/>
  <c r="O508" i="6"/>
  <c r="O480" i="6"/>
  <c r="O299" i="6"/>
  <c r="O158" i="6"/>
  <c r="O8" i="6"/>
  <c r="O518" i="6"/>
  <c r="O362" i="6"/>
  <c r="O263" i="6"/>
  <c r="O221" i="6"/>
  <c r="O122" i="6"/>
  <c r="O71" i="6"/>
  <c r="O584" i="6"/>
  <c r="O527" i="6"/>
  <c r="O461" i="6"/>
  <c r="O407" i="6"/>
  <c r="O371" i="6"/>
  <c r="O326" i="6"/>
  <c r="O230" i="6"/>
  <c r="O185" i="6"/>
  <c r="O86" i="6"/>
  <c r="O35" i="6"/>
  <c r="M168" i="2" l="1"/>
  <c r="M171" i="2"/>
  <c r="O39" i="2"/>
  <c r="O8" i="2"/>
  <c r="I218" i="2" l="1"/>
  <c r="O829" i="2" l="1"/>
  <c r="O620" i="2"/>
  <c r="O903" i="2"/>
  <c r="O893" i="2"/>
  <c r="O883" i="2"/>
  <c r="O872" i="2"/>
  <c r="O862" i="2"/>
  <c r="O852" i="2"/>
  <c r="O841" i="2"/>
  <c r="O810" i="2"/>
  <c r="O800" i="2"/>
  <c r="O789" i="2"/>
  <c r="O778" i="2"/>
  <c r="O762" i="2"/>
  <c r="O753" i="2"/>
  <c r="O733" i="2"/>
  <c r="O723" i="2"/>
  <c r="O704" i="2"/>
  <c r="O693" i="2"/>
  <c r="O679" i="2"/>
  <c r="O669" i="2"/>
  <c r="O660" i="2"/>
  <c r="O651" i="2"/>
  <c r="O641" i="2"/>
  <c r="O630" i="2"/>
  <c r="O610" i="2"/>
  <c r="O588" i="2"/>
  <c r="O576" i="2"/>
  <c r="O567" i="2"/>
  <c r="O557" i="2"/>
  <c r="O547" i="2"/>
  <c r="O537" i="2"/>
  <c r="O526" i="2"/>
  <c r="O511" i="2"/>
  <c r="O499" i="2"/>
  <c r="O486" i="2"/>
  <c r="O476" i="2"/>
  <c r="O465" i="2"/>
  <c r="O455" i="2"/>
  <c r="O444" i="2"/>
  <c r="O432" i="2"/>
  <c r="O406" i="2"/>
  <c r="O396" i="2"/>
  <c r="O381" i="2"/>
  <c r="O360" i="2"/>
  <c r="O349" i="2"/>
  <c r="O340" i="2"/>
  <c r="O329" i="2"/>
  <c r="O317" i="2"/>
  <c r="O308" i="2"/>
  <c r="O298" i="2"/>
  <c r="O287" i="2"/>
  <c r="O276" i="2"/>
  <c r="O266" i="2"/>
  <c r="O254" i="2"/>
  <c r="O245" i="2"/>
  <c r="O234" i="2"/>
  <c r="O223" i="2"/>
  <c r="O214" i="2"/>
  <c r="O203" i="2"/>
  <c r="O190" i="2"/>
  <c r="O181" i="2"/>
  <c r="O172" i="2"/>
  <c r="O160" i="2"/>
  <c r="O150" i="2"/>
  <c r="O141" i="2"/>
  <c r="O129" i="2"/>
  <c r="O119" i="2"/>
  <c r="O109" i="2"/>
  <c r="O92" i="2"/>
  <c r="O73" i="2"/>
  <c r="O59" i="2"/>
  <c r="O48" i="2"/>
  <c r="O28" i="2"/>
  <c r="O18" i="2"/>
  <c r="I561" i="2"/>
  <c r="M356" i="2" l="1"/>
  <c r="O356" i="2" s="1"/>
  <c r="M689" i="2"/>
  <c r="O689" i="2" s="1"/>
  <c r="M440" i="2"/>
  <c r="O440" i="2" s="1"/>
  <c r="I198" i="2"/>
  <c r="M198" i="2" s="1"/>
  <c r="O198" i="2" s="1"/>
  <c r="M616" i="2"/>
  <c r="O616" i="2" s="1"/>
  <c r="M606" i="2"/>
  <c r="O606" i="2" s="1"/>
  <c r="M903" i="2"/>
  <c r="M902" i="2"/>
  <c r="O902" i="2" s="1"/>
  <c r="M900" i="2"/>
  <c r="O900" i="2" s="1"/>
  <c r="M899" i="2"/>
  <c r="O899" i="2" s="1"/>
  <c r="I898" i="2"/>
  <c r="M898" i="2" s="1"/>
  <c r="O898" i="2" s="1"/>
  <c r="I897" i="2"/>
  <c r="M897" i="2" s="1"/>
  <c r="O897" i="2" s="1"/>
  <c r="M893" i="2"/>
  <c r="M892" i="2"/>
  <c r="O892" i="2" s="1"/>
  <c r="M890" i="2"/>
  <c r="O890" i="2" s="1"/>
  <c r="M889" i="2"/>
  <c r="O889" i="2" s="1"/>
  <c r="I888" i="2"/>
  <c r="M888" i="2" s="1"/>
  <c r="O888" i="2" s="1"/>
  <c r="I887" i="2"/>
  <c r="M887" i="2" s="1"/>
  <c r="O887" i="2" s="1"/>
  <c r="M883" i="2"/>
  <c r="M882" i="2"/>
  <c r="O882" i="2" s="1"/>
  <c r="M880" i="2"/>
  <c r="O880" i="2" s="1"/>
  <c r="M879" i="2"/>
  <c r="O879" i="2" s="1"/>
  <c r="I878" i="2"/>
  <c r="M878" i="2" s="1"/>
  <c r="O878" i="2" s="1"/>
  <c r="I877" i="2"/>
  <c r="M877" i="2" s="1"/>
  <c r="O877" i="2" s="1"/>
  <c r="M872" i="2"/>
  <c r="M871" i="2"/>
  <c r="O871" i="2" s="1"/>
  <c r="M870" i="2"/>
  <c r="O870" i="2" s="1"/>
  <c r="M869" i="2"/>
  <c r="O869" i="2" s="1"/>
  <c r="M868" i="2"/>
  <c r="O868" i="2" s="1"/>
  <c r="I867" i="2"/>
  <c r="M867" i="2" s="1"/>
  <c r="O867" i="2" s="1"/>
  <c r="I866" i="2"/>
  <c r="M866" i="2" s="1"/>
  <c r="O866" i="2" s="1"/>
  <c r="M862" i="2"/>
  <c r="M861" i="2"/>
  <c r="O861" i="2" s="1"/>
  <c r="M860" i="2"/>
  <c r="O860" i="2" s="1"/>
  <c r="M859" i="2"/>
  <c r="O859" i="2" s="1"/>
  <c r="M858" i="2"/>
  <c r="I857" i="2"/>
  <c r="M857" i="2" s="1"/>
  <c r="O857" i="2" s="1"/>
  <c r="I856" i="2"/>
  <c r="M856" i="2" s="1"/>
  <c r="O856" i="2" s="1"/>
  <c r="M852" i="2"/>
  <c r="M851" i="2"/>
  <c r="O851" i="2" s="1"/>
  <c r="M850" i="2"/>
  <c r="O850" i="2" s="1"/>
  <c r="M849" i="2"/>
  <c r="O849" i="2" s="1"/>
  <c r="M848" i="2"/>
  <c r="O848" i="2" s="1"/>
  <c r="I847" i="2"/>
  <c r="M847" i="2" s="1"/>
  <c r="O847" i="2" s="1"/>
  <c r="I846" i="2"/>
  <c r="M846" i="2" s="1"/>
  <c r="O846" i="2" s="1"/>
  <c r="M841" i="2"/>
  <c r="M840" i="2"/>
  <c r="O840" i="2" s="1"/>
  <c r="M839" i="2"/>
  <c r="O839" i="2" s="1"/>
  <c r="M838" i="2"/>
  <c r="O838" i="2" s="1"/>
  <c r="M837" i="2"/>
  <c r="O837" i="2" s="1"/>
  <c r="I836" i="2"/>
  <c r="M836" i="2" s="1"/>
  <c r="O836" i="2" s="1"/>
  <c r="I835" i="2"/>
  <c r="M835" i="2" s="1"/>
  <c r="O835" i="2" s="1"/>
  <c r="M829" i="2"/>
  <c r="M828" i="2"/>
  <c r="O828" i="2" s="1"/>
  <c r="M827" i="2"/>
  <c r="O827" i="2" s="1"/>
  <c r="M826" i="2"/>
  <c r="O826" i="2" s="1"/>
  <c r="M825" i="2"/>
  <c r="O825" i="2" s="1"/>
  <c r="I824" i="2"/>
  <c r="M824" i="2" s="1"/>
  <c r="O824" i="2" s="1"/>
  <c r="I823" i="2"/>
  <c r="M823" i="2" s="1"/>
  <c r="O823" i="2" s="1"/>
  <c r="M810" i="2"/>
  <c r="M809" i="2"/>
  <c r="O809" i="2" s="1"/>
  <c r="M807" i="2"/>
  <c r="O807" i="2" s="1"/>
  <c r="M806" i="2"/>
  <c r="O806" i="2" s="1"/>
  <c r="I805" i="2"/>
  <c r="M805" i="2" s="1"/>
  <c r="O805" i="2" s="1"/>
  <c r="I804" i="2"/>
  <c r="M804" i="2" s="1"/>
  <c r="O804" i="2" s="1"/>
  <c r="M800" i="2"/>
  <c r="M799" i="2"/>
  <c r="O799" i="2" s="1"/>
  <c r="M798" i="2"/>
  <c r="O798" i="2" s="1"/>
  <c r="M797" i="2"/>
  <c r="O797" i="2" s="1"/>
  <c r="M796" i="2"/>
  <c r="O796" i="2" s="1"/>
  <c r="I795" i="2"/>
  <c r="M795" i="2" s="1"/>
  <c r="O795" i="2" s="1"/>
  <c r="I794" i="2"/>
  <c r="M794" i="2" s="1"/>
  <c r="O794" i="2" s="1"/>
  <c r="M789" i="2"/>
  <c r="M788" i="2"/>
  <c r="O788" i="2" s="1"/>
  <c r="M787" i="2"/>
  <c r="O787" i="2" s="1"/>
  <c r="M786" i="2"/>
  <c r="O786" i="2" s="1"/>
  <c r="M785" i="2"/>
  <c r="O785" i="2" s="1"/>
  <c r="I784" i="2"/>
  <c r="M784" i="2" s="1"/>
  <c r="O784" i="2" s="1"/>
  <c r="I783" i="2"/>
  <c r="M783" i="2" s="1"/>
  <c r="O783" i="2" s="1"/>
  <c r="M778" i="2"/>
  <c r="M777" i="2"/>
  <c r="O777" i="2" s="1"/>
  <c r="M776" i="2"/>
  <c r="O776" i="2" s="1"/>
  <c r="M775" i="2"/>
  <c r="O775" i="2" s="1"/>
  <c r="M774" i="2"/>
  <c r="O774" i="2" s="1"/>
  <c r="I773" i="2"/>
  <c r="M773" i="2" s="1"/>
  <c r="O773" i="2" s="1"/>
  <c r="I772" i="2"/>
  <c r="M772" i="2" s="1"/>
  <c r="O772" i="2" s="1"/>
  <c r="M762" i="2"/>
  <c r="M761" i="2"/>
  <c r="O761" i="2" s="1"/>
  <c r="M760" i="2"/>
  <c r="O760" i="2" s="1"/>
  <c r="M759" i="2"/>
  <c r="O759" i="2" s="1"/>
  <c r="M758" i="2"/>
  <c r="O758" i="2" s="1"/>
  <c r="I757" i="2"/>
  <c r="M757" i="2" s="1"/>
  <c r="O757" i="2" s="1"/>
  <c r="I756" i="2"/>
  <c r="M756" i="2" s="1"/>
  <c r="O756" i="2" s="1"/>
  <c r="M753" i="2"/>
  <c r="M752" i="2"/>
  <c r="O752" i="2" s="1"/>
  <c r="M750" i="2"/>
  <c r="O750" i="2" s="1"/>
  <c r="M749" i="2"/>
  <c r="O749" i="2" s="1"/>
  <c r="I748" i="2"/>
  <c r="M748" i="2" s="1"/>
  <c r="O748" i="2" s="1"/>
  <c r="I747" i="2"/>
  <c r="M747" i="2" s="1"/>
  <c r="O747" i="2" s="1"/>
  <c r="M733" i="2"/>
  <c r="M732" i="2"/>
  <c r="O732" i="2" s="1"/>
  <c r="M730" i="2"/>
  <c r="O730" i="2" s="1"/>
  <c r="M729" i="2"/>
  <c r="O729" i="2" s="1"/>
  <c r="I728" i="2"/>
  <c r="M728" i="2" s="1"/>
  <c r="O728" i="2" s="1"/>
  <c r="I727" i="2"/>
  <c r="M727" i="2" s="1"/>
  <c r="O727" i="2" s="1"/>
  <c r="M723" i="2"/>
  <c r="M722" i="2"/>
  <c r="O722" i="2" s="1"/>
  <c r="M720" i="2"/>
  <c r="O720" i="2" s="1"/>
  <c r="M719" i="2"/>
  <c r="O719" i="2" s="1"/>
  <c r="I718" i="2"/>
  <c r="M718" i="2" s="1"/>
  <c r="O718" i="2" s="1"/>
  <c r="I717" i="2"/>
  <c r="M717" i="2" s="1"/>
  <c r="O717" i="2" s="1"/>
  <c r="M704" i="2"/>
  <c r="M703" i="2"/>
  <c r="O703" i="2" s="1"/>
  <c r="M701" i="2"/>
  <c r="O701" i="2" s="1"/>
  <c r="M700" i="2"/>
  <c r="O700" i="2" s="1"/>
  <c r="I699" i="2"/>
  <c r="M699" i="2" s="1"/>
  <c r="O699" i="2" s="1"/>
  <c r="I698" i="2"/>
  <c r="M698" i="2" s="1"/>
  <c r="O698" i="2" s="1"/>
  <c r="M693" i="2"/>
  <c r="M692" i="2"/>
  <c r="O692" i="2" s="1"/>
  <c r="M690" i="2"/>
  <c r="O690" i="2" s="1"/>
  <c r="I688" i="2"/>
  <c r="M688" i="2" s="1"/>
  <c r="O688" i="2" s="1"/>
  <c r="I687" i="2"/>
  <c r="M687" i="2" s="1"/>
  <c r="O687" i="2" s="1"/>
  <c r="M679" i="2"/>
  <c r="M678" i="2"/>
  <c r="O678" i="2" s="1"/>
  <c r="M677" i="2"/>
  <c r="O677" i="2" s="1"/>
  <c r="M676" i="2"/>
  <c r="O676" i="2" s="1"/>
  <c r="M675" i="2"/>
  <c r="O675" i="2" s="1"/>
  <c r="I674" i="2"/>
  <c r="M674" i="2" s="1"/>
  <c r="O674" i="2" s="1"/>
  <c r="I673" i="2"/>
  <c r="M673" i="2" s="1"/>
  <c r="O673" i="2" s="1"/>
  <c r="M669" i="2"/>
  <c r="M668" i="2"/>
  <c r="O668" i="2" s="1"/>
  <c r="M667" i="2"/>
  <c r="O667" i="2" s="1"/>
  <c r="M666" i="2"/>
  <c r="O666" i="2" s="1"/>
  <c r="M665" i="2"/>
  <c r="O665" i="2" s="1"/>
  <c r="I664" i="2"/>
  <c r="M664" i="2" s="1"/>
  <c r="O664" i="2" s="1"/>
  <c r="I663" i="2"/>
  <c r="M663" i="2" s="1"/>
  <c r="O663" i="2" s="1"/>
  <c r="M660" i="2"/>
  <c r="M659" i="2"/>
  <c r="O659" i="2" s="1"/>
  <c r="M658" i="2"/>
  <c r="O658" i="2" s="1"/>
  <c r="M657" i="2"/>
  <c r="O657" i="2" s="1"/>
  <c r="M656" i="2"/>
  <c r="O656" i="2" s="1"/>
  <c r="I655" i="2"/>
  <c r="M655" i="2" s="1"/>
  <c r="O655" i="2" s="1"/>
  <c r="I654" i="2"/>
  <c r="M654" i="2" s="1"/>
  <c r="O654" i="2" s="1"/>
  <c r="M651" i="2"/>
  <c r="M650" i="2"/>
  <c r="O650" i="2" s="1"/>
  <c r="M649" i="2"/>
  <c r="O649" i="2" s="1"/>
  <c r="M648" i="2"/>
  <c r="O648" i="2" s="1"/>
  <c r="M647" i="2"/>
  <c r="O647" i="2" s="1"/>
  <c r="I646" i="2"/>
  <c r="M646" i="2" s="1"/>
  <c r="O646" i="2" s="1"/>
  <c r="I645" i="2"/>
  <c r="M645" i="2" s="1"/>
  <c r="O645" i="2" s="1"/>
  <c r="M641" i="2"/>
  <c r="M640" i="2"/>
  <c r="O640" i="2" s="1"/>
  <c r="M639" i="2"/>
  <c r="O639" i="2" s="1"/>
  <c r="M638" i="2"/>
  <c r="O638" i="2" s="1"/>
  <c r="M637" i="2"/>
  <c r="O637" i="2" s="1"/>
  <c r="I636" i="2"/>
  <c r="M636" i="2" s="1"/>
  <c r="O636" i="2" s="1"/>
  <c r="I635" i="2"/>
  <c r="M635" i="2" s="1"/>
  <c r="O635" i="2" s="1"/>
  <c r="M630" i="2"/>
  <c r="M629" i="2"/>
  <c r="O629" i="2" s="1"/>
  <c r="M628" i="2"/>
  <c r="O628" i="2" s="1"/>
  <c r="M627" i="2"/>
  <c r="O627" i="2" s="1"/>
  <c r="M626" i="2"/>
  <c r="O626" i="2" s="1"/>
  <c r="I625" i="2"/>
  <c r="M625" i="2" s="1"/>
  <c r="O625" i="2" s="1"/>
  <c r="I624" i="2"/>
  <c r="M624" i="2" s="1"/>
  <c r="O624" i="2" s="1"/>
  <c r="M620" i="2"/>
  <c r="M619" i="2"/>
  <c r="M618" i="2"/>
  <c r="M617" i="2"/>
  <c r="O617" i="2" s="1"/>
  <c r="I615" i="2"/>
  <c r="M615" i="2" s="1"/>
  <c r="O615" i="2" s="1"/>
  <c r="I614" i="2"/>
  <c r="M614" i="2" s="1"/>
  <c r="O614" i="2" s="1"/>
  <c r="M610" i="2"/>
  <c r="M609" i="2"/>
  <c r="O609" i="2" s="1"/>
  <c r="M607" i="2"/>
  <c r="O607" i="2" s="1"/>
  <c r="I605" i="2"/>
  <c r="M605" i="2" s="1"/>
  <c r="O605" i="2" s="1"/>
  <c r="I604" i="2"/>
  <c r="M604" i="2" s="1"/>
  <c r="O604" i="2" s="1"/>
  <c r="M588" i="2"/>
  <c r="M587" i="2"/>
  <c r="O587" i="2" s="1"/>
  <c r="M586" i="2"/>
  <c r="O586" i="2" s="1"/>
  <c r="M585" i="2"/>
  <c r="O585" i="2" s="1"/>
  <c r="M584" i="2"/>
  <c r="O584" i="2" s="1"/>
  <c r="I583" i="2"/>
  <c r="M583" i="2" s="1"/>
  <c r="O583" i="2" s="1"/>
  <c r="I582" i="2"/>
  <c r="M582" i="2" s="1"/>
  <c r="O582" i="2" s="1"/>
  <c r="M576" i="2"/>
  <c r="M575" i="2"/>
  <c r="O575" i="2" s="1"/>
  <c r="M574" i="2"/>
  <c r="O574" i="2" s="1"/>
  <c r="M573" i="2"/>
  <c r="O573" i="2" s="1"/>
  <c r="M572" i="2"/>
  <c r="O572" i="2" s="1"/>
  <c r="I571" i="2"/>
  <c r="M571" i="2" s="1"/>
  <c r="O571" i="2" s="1"/>
  <c r="I570" i="2"/>
  <c r="M570" i="2" s="1"/>
  <c r="O570" i="2" s="1"/>
  <c r="M567" i="2"/>
  <c r="M566" i="2"/>
  <c r="O566" i="2" s="1"/>
  <c r="M565" i="2"/>
  <c r="O565" i="2" s="1"/>
  <c r="M564" i="2"/>
  <c r="O564" i="2" s="1"/>
  <c r="M563" i="2"/>
  <c r="O563" i="2" s="1"/>
  <c r="I562" i="2"/>
  <c r="M562" i="2" s="1"/>
  <c r="O562" i="2" s="1"/>
  <c r="M561" i="2"/>
  <c r="O561" i="2" s="1"/>
  <c r="M557" i="2"/>
  <c r="M556" i="2"/>
  <c r="O556" i="2" s="1"/>
  <c r="M555" i="2"/>
  <c r="O555" i="2" s="1"/>
  <c r="M554" i="2"/>
  <c r="O554" i="2" s="1"/>
  <c r="M553" i="2"/>
  <c r="O553" i="2" s="1"/>
  <c r="I552" i="2"/>
  <c r="M552" i="2" s="1"/>
  <c r="O552" i="2" s="1"/>
  <c r="I551" i="2"/>
  <c r="M551" i="2" s="1"/>
  <c r="O551" i="2" s="1"/>
  <c r="M547" i="2"/>
  <c r="M546" i="2"/>
  <c r="O546" i="2" s="1"/>
  <c r="M545" i="2"/>
  <c r="O545" i="2" s="1"/>
  <c r="M544" i="2"/>
  <c r="O544" i="2" s="1"/>
  <c r="M543" i="2"/>
  <c r="O543" i="2" s="1"/>
  <c r="I542" i="2"/>
  <c r="M542" i="2" s="1"/>
  <c r="O542" i="2" s="1"/>
  <c r="I541" i="2"/>
  <c r="M541" i="2" s="1"/>
  <c r="O541" i="2" s="1"/>
  <c r="M537" i="2"/>
  <c r="M536" i="2"/>
  <c r="O536" i="2" s="1"/>
  <c r="M535" i="2"/>
  <c r="O535" i="2" s="1"/>
  <c r="M534" i="2"/>
  <c r="O534" i="2" s="1"/>
  <c r="M533" i="2"/>
  <c r="O533" i="2" s="1"/>
  <c r="I532" i="2"/>
  <c r="M532" i="2" s="1"/>
  <c r="O532" i="2" s="1"/>
  <c r="I531" i="2"/>
  <c r="M531" i="2" s="1"/>
  <c r="O531" i="2" s="1"/>
  <c r="M526" i="2"/>
  <c r="M525" i="2"/>
  <c r="O525" i="2" s="1"/>
  <c r="M524" i="2"/>
  <c r="O524" i="2" s="1"/>
  <c r="M523" i="2"/>
  <c r="O523" i="2" s="1"/>
  <c r="M522" i="2"/>
  <c r="O522" i="2" s="1"/>
  <c r="I521" i="2"/>
  <c r="M521" i="2" s="1"/>
  <c r="O521" i="2" s="1"/>
  <c r="I520" i="2"/>
  <c r="M520" i="2" s="1"/>
  <c r="O520" i="2" s="1"/>
  <c r="M511" i="2"/>
  <c r="M510" i="2"/>
  <c r="O510" i="2" s="1"/>
  <c r="M508" i="2"/>
  <c r="O508" i="2" s="1"/>
  <c r="M507" i="2"/>
  <c r="O507" i="2" s="1"/>
  <c r="I506" i="2"/>
  <c r="M506" i="2" s="1"/>
  <c r="O506" i="2" s="1"/>
  <c r="I505" i="2"/>
  <c r="M505" i="2" s="1"/>
  <c r="O505" i="2" s="1"/>
  <c r="M499" i="2"/>
  <c r="M498" i="2"/>
  <c r="O498" i="2" s="1"/>
  <c r="M497" i="2"/>
  <c r="O497" i="2" s="1"/>
  <c r="M496" i="2"/>
  <c r="O496" i="2" s="1"/>
  <c r="M495" i="2"/>
  <c r="O495" i="2" s="1"/>
  <c r="I494" i="2"/>
  <c r="M494" i="2" s="1"/>
  <c r="O494" i="2" s="1"/>
  <c r="I493" i="2"/>
  <c r="M493" i="2" s="1"/>
  <c r="O493" i="2" s="1"/>
  <c r="M486" i="2"/>
  <c r="M485" i="2"/>
  <c r="O485" i="2" s="1"/>
  <c r="M484" i="2"/>
  <c r="O484" i="2" s="1"/>
  <c r="M483" i="2"/>
  <c r="O483" i="2" s="1"/>
  <c r="M482" i="2"/>
  <c r="O482" i="2" s="1"/>
  <c r="I481" i="2"/>
  <c r="M481" i="2" s="1"/>
  <c r="O481" i="2" s="1"/>
  <c r="I480" i="2"/>
  <c r="M480" i="2" s="1"/>
  <c r="O480" i="2" s="1"/>
  <c r="M476" i="2"/>
  <c r="M475" i="2"/>
  <c r="O475" i="2" s="1"/>
  <c r="M474" i="2"/>
  <c r="O474" i="2" s="1"/>
  <c r="M473" i="2"/>
  <c r="O473" i="2" s="1"/>
  <c r="M472" i="2"/>
  <c r="O472" i="2" s="1"/>
  <c r="I471" i="2"/>
  <c r="M471" i="2" s="1"/>
  <c r="O471" i="2" s="1"/>
  <c r="I470" i="2"/>
  <c r="M470" i="2" s="1"/>
  <c r="O470" i="2" s="1"/>
  <c r="M465" i="2"/>
  <c r="M464" i="2"/>
  <c r="O464" i="2" s="1"/>
  <c r="M463" i="2"/>
  <c r="O463" i="2" s="1"/>
  <c r="M462" i="2"/>
  <c r="O462" i="2" s="1"/>
  <c r="M461" i="2"/>
  <c r="O461" i="2" s="1"/>
  <c r="I460" i="2"/>
  <c r="M460" i="2" s="1"/>
  <c r="O460" i="2" s="1"/>
  <c r="I459" i="2"/>
  <c r="M459" i="2" s="1"/>
  <c r="O459" i="2" s="1"/>
  <c r="M455" i="2"/>
  <c r="M454" i="2"/>
  <c r="O454" i="2" s="1"/>
  <c r="M453" i="2"/>
  <c r="O453" i="2" s="1"/>
  <c r="M452" i="2"/>
  <c r="O452" i="2" s="1"/>
  <c r="M451" i="2"/>
  <c r="O451" i="2" s="1"/>
  <c r="I450" i="2"/>
  <c r="M450" i="2" s="1"/>
  <c r="O450" i="2" s="1"/>
  <c r="I449" i="2"/>
  <c r="M449" i="2" s="1"/>
  <c r="O449" i="2" s="1"/>
  <c r="M444" i="2"/>
  <c r="M443" i="2"/>
  <c r="O443" i="2" s="1"/>
  <c r="M442" i="2"/>
  <c r="O442" i="2" s="1"/>
  <c r="M441" i="2"/>
  <c r="O441" i="2" s="1"/>
  <c r="I439" i="2"/>
  <c r="M439" i="2" s="1"/>
  <c r="O439" i="2" s="1"/>
  <c r="I438" i="2"/>
  <c r="M438" i="2" s="1"/>
  <c r="O438" i="2" s="1"/>
  <c r="M432" i="2"/>
  <c r="M431" i="2"/>
  <c r="O431" i="2" s="1"/>
  <c r="M429" i="2"/>
  <c r="O429" i="2" s="1"/>
  <c r="M428" i="2"/>
  <c r="O428" i="2" s="1"/>
  <c r="I427" i="2"/>
  <c r="M427" i="2" s="1"/>
  <c r="O427" i="2" s="1"/>
  <c r="I426" i="2"/>
  <c r="M426" i="2" s="1"/>
  <c r="O426" i="2" s="1"/>
  <c r="M406" i="2"/>
  <c r="M405" i="2"/>
  <c r="O405" i="2" s="1"/>
  <c r="M403" i="2"/>
  <c r="O403" i="2" s="1"/>
  <c r="M402" i="2"/>
  <c r="O402" i="2" s="1"/>
  <c r="I401" i="2"/>
  <c r="M401" i="2" s="1"/>
  <c r="O401" i="2" s="1"/>
  <c r="I400" i="2"/>
  <c r="M400" i="2" s="1"/>
  <c r="O400" i="2" s="1"/>
  <c r="M396" i="2"/>
  <c r="M395" i="2"/>
  <c r="O395" i="2" s="1"/>
  <c r="M394" i="2"/>
  <c r="O394" i="2" s="1"/>
  <c r="M393" i="2"/>
  <c r="O393" i="2" s="1"/>
  <c r="M392" i="2"/>
  <c r="O392" i="2" s="1"/>
  <c r="I391" i="2"/>
  <c r="M391" i="2" s="1"/>
  <c r="O391" i="2" s="1"/>
  <c r="I390" i="2"/>
  <c r="M390" i="2" s="1"/>
  <c r="O390" i="2" s="1"/>
  <c r="M381" i="2"/>
  <c r="M380" i="2"/>
  <c r="O380" i="2" s="1"/>
  <c r="M379" i="2"/>
  <c r="O379" i="2" s="1"/>
  <c r="M378" i="2"/>
  <c r="O378" i="2" s="1"/>
  <c r="M377" i="2"/>
  <c r="O377" i="2" s="1"/>
  <c r="I376" i="2"/>
  <c r="M376" i="2" s="1"/>
  <c r="O376" i="2" s="1"/>
  <c r="I375" i="2"/>
  <c r="M375" i="2" s="1"/>
  <c r="O375" i="2" s="1"/>
  <c r="M360" i="2"/>
  <c r="M359" i="2"/>
  <c r="O359" i="2" s="1"/>
  <c r="M358" i="2"/>
  <c r="O358" i="2" s="1"/>
  <c r="M357" i="2"/>
  <c r="O357" i="2" s="1"/>
  <c r="I355" i="2"/>
  <c r="M355" i="2" s="1"/>
  <c r="O355" i="2" s="1"/>
  <c r="I354" i="2"/>
  <c r="M354" i="2" s="1"/>
  <c r="O354" i="2" s="1"/>
  <c r="M349" i="2"/>
  <c r="M348" i="2"/>
  <c r="O348" i="2" s="1"/>
  <c r="M347" i="2"/>
  <c r="O347" i="2" s="1"/>
  <c r="M346" i="2"/>
  <c r="O346" i="2" s="1"/>
  <c r="M345" i="2"/>
  <c r="O345" i="2" s="1"/>
  <c r="I344" i="2"/>
  <c r="M344" i="2" s="1"/>
  <c r="O344" i="2" s="1"/>
  <c r="I343" i="2"/>
  <c r="M343" i="2" s="1"/>
  <c r="O343" i="2" s="1"/>
  <c r="M340" i="2"/>
  <c r="M338" i="2"/>
  <c r="O338" i="2" s="1"/>
  <c r="M337" i="2"/>
  <c r="O337" i="2" s="1"/>
  <c r="M336" i="2"/>
  <c r="O336" i="2" s="1"/>
  <c r="I335" i="2"/>
  <c r="M335" i="2" s="1"/>
  <c r="O335" i="2" s="1"/>
  <c r="I334" i="2"/>
  <c r="M334" i="2" s="1"/>
  <c r="O334" i="2" s="1"/>
  <c r="M329" i="2"/>
  <c r="M328" i="2"/>
  <c r="O328" i="2" s="1"/>
  <c r="M327" i="2"/>
  <c r="O327" i="2" s="1"/>
  <c r="M326" i="2"/>
  <c r="O326" i="2" s="1"/>
  <c r="M325" i="2"/>
  <c r="O325" i="2" s="1"/>
  <c r="I324" i="2"/>
  <c r="M324" i="2" s="1"/>
  <c r="O324" i="2" s="1"/>
  <c r="I323" i="2"/>
  <c r="M323" i="2" s="1"/>
  <c r="O323" i="2" s="1"/>
  <c r="M317" i="2"/>
  <c r="M316" i="2"/>
  <c r="O316" i="2" s="1"/>
  <c r="M315" i="2"/>
  <c r="O315" i="2" s="1"/>
  <c r="M314" i="2"/>
  <c r="O314" i="2" s="1"/>
  <c r="M313" i="2"/>
  <c r="O313" i="2" s="1"/>
  <c r="I312" i="2"/>
  <c r="M312" i="2" s="1"/>
  <c r="O312" i="2" s="1"/>
  <c r="I311" i="2"/>
  <c r="M311" i="2" s="1"/>
  <c r="O311" i="2" s="1"/>
  <c r="M308" i="2"/>
  <c r="M307" i="2"/>
  <c r="O307" i="2" s="1"/>
  <c r="M305" i="2"/>
  <c r="O305" i="2" s="1"/>
  <c r="M304" i="2"/>
  <c r="O304" i="2" s="1"/>
  <c r="I303" i="2"/>
  <c r="M303" i="2" s="1"/>
  <c r="O303" i="2" s="1"/>
  <c r="I302" i="2"/>
  <c r="M302" i="2" s="1"/>
  <c r="O302" i="2" s="1"/>
  <c r="M298" i="2"/>
  <c r="M297" i="2"/>
  <c r="O297" i="2" s="1"/>
  <c r="M296" i="2"/>
  <c r="O296" i="2" s="1"/>
  <c r="M295" i="2"/>
  <c r="O295" i="2" s="1"/>
  <c r="M294" i="2"/>
  <c r="O294" i="2" s="1"/>
  <c r="I293" i="2"/>
  <c r="M293" i="2" s="1"/>
  <c r="O293" i="2" s="1"/>
  <c r="I292" i="2"/>
  <c r="M292" i="2" s="1"/>
  <c r="O292" i="2" s="1"/>
  <c r="M287" i="2"/>
  <c r="M286" i="2"/>
  <c r="O286" i="2" s="1"/>
  <c r="M285" i="2"/>
  <c r="O285" i="2" s="1"/>
  <c r="M284" i="2"/>
  <c r="O284" i="2" s="1"/>
  <c r="M283" i="2"/>
  <c r="O283" i="2" s="1"/>
  <c r="I282" i="2"/>
  <c r="M282" i="2" s="1"/>
  <c r="O282" i="2" s="1"/>
  <c r="I281" i="2"/>
  <c r="M281" i="2" s="1"/>
  <c r="O281" i="2" s="1"/>
  <c r="M276" i="2"/>
  <c r="M275" i="2"/>
  <c r="O275" i="2" s="1"/>
  <c r="M274" i="2"/>
  <c r="O274" i="2" s="1"/>
  <c r="M273" i="2"/>
  <c r="O273" i="2" s="1"/>
  <c r="M272" i="2"/>
  <c r="O272" i="2" s="1"/>
  <c r="I271" i="2"/>
  <c r="M271" i="2" s="1"/>
  <c r="O271" i="2" s="1"/>
  <c r="I270" i="2"/>
  <c r="M270" i="2" s="1"/>
  <c r="O270" i="2" s="1"/>
  <c r="M266" i="2"/>
  <c r="M265" i="2"/>
  <c r="O265" i="2" s="1"/>
  <c r="M264" i="2"/>
  <c r="O264" i="2" s="1"/>
  <c r="M263" i="2"/>
  <c r="O263" i="2" s="1"/>
  <c r="M262" i="2"/>
  <c r="O262" i="2" s="1"/>
  <c r="I261" i="2"/>
  <c r="M261" i="2" s="1"/>
  <c r="O261" i="2" s="1"/>
  <c r="I260" i="2"/>
  <c r="M260" i="2" s="1"/>
  <c r="O260" i="2" s="1"/>
  <c r="M254" i="2"/>
  <c r="M253" i="2"/>
  <c r="O253" i="2" s="1"/>
  <c r="M252" i="2"/>
  <c r="O252" i="2" s="1"/>
  <c r="M251" i="2"/>
  <c r="O251" i="2" s="1"/>
  <c r="M250" i="2"/>
  <c r="O250" i="2" s="1"/>
  <c r="I249" i="2"/>
  <c r="M249" i="2" s="1"/>
  <c r="O249" i="2" s="1"/>
  <c r="I248" i="2"/>
  <c r="M248" i="2" s="1"/>
  <c r="O248" i="2" s="1"/>
  <c r="M245" i="2"/>
  <c r="M244" i="2"/>
  <c r="O244" i="2" s="1"/>
  <c r="M243" i="2"/>
  <c r="O243" i="2" s="1"/>
  <c r="M242" i="2"/>
  <c r="O242" i="2" s="1"/>
  <c r="M241" i="2"/>
  <c r="O241" i="2" s="1"/>
  <c r="I240" i="2"/>
  <c r="I239" i="2"/>
  <c r="M239" i="2" s="1"/>
  <c r="O239" i="2" s="1"/>
  <c r="M234" i="2"/>
  <c r="M233" i="2"/>
  <c r="O233" i="2" s="1"/>
  <c r="M232" i="2"/>
  <c r="O232" i="2" s="1"/>
  <c r="M231" i="2"/>
  <c r="O231" i="2" s="1"/>
  <c r="M230" i="2"/>
  <c r="O230" i="2" s="1"/>
  <c r="I229" i="2"/>
  <c r="M229" i="2" s="1"/>
  <c r="O229" i="2" s="1"/>
  <c r="I228" i="2"/>
  <c r="M228" i="2" s="1"/>
  <c r="O228" i="2" s="1"/>
  <c r="M223" i="2"/>
  <c r="M222" i="2"/>
  <c r="O222" i="2" s="1"/>
  <c r="M221" i="2"/>
  <c r="O221" i="2" s="1"/>
  <c r="M220" i="2"/>
  <c r="O220" i="2" s="1"/>
  <c r="M219" i="2"/>
  <c r="O219" i="2" s="1"/>
  <c r="M218" i="2"/>
  <c r="O218" i="2" s="1"/>
  <c r="I217" i="2"/>
  <c r="M217" i="2" s="1"/>
  <c r="O217" i="2" s="1"/>
  <c r="M214" i="2"/>
  <c r="M213" i="2"/>
  <c r="O213" i="2" s="1"/>
  <c r="M212" i="2"/>
  <c r="O212" i="2" s="1"/>
  <c r="M211" i="2"/>
  <c r="O211" i="2" s="1"/>
  <c r="M210" i="2"/>
  <c r="O210" i="2" s="1"/>
  <c r="I209" i="2"/>
  <c r="M209" i="2" s="1"/>
  <c r="O209" i="2" s="1"/>
  <c r="I208" i="2"/>
  <c r="M208" i="2" s="1"/>
  <c r="O208" i="2" s="1"/>
  <c r="M203" i="2"/>
  <c r="M202" i="2"/>
  <c r="O202" i="2" s="1"/>
  <c r="M200" i="2"/>
  <c r="O200" i="2" s="1"/>
  <c r="O199" i="2"/>
  <c r="I197" i="2"/>
  <c r="M197" i="2" s="1"/>
  <c r="O197" i="2" s="1"/>
  <c r="M190" i="2"/>
  <c r="M189" i="2"/>
  <c r="O189" i="2" s="1"/>
  <c r="M188" i="2"/>
  <c r="O188" i="2" s="1"/>
  <c r="M187" i="2"/>
  <c r="O187" i="2" s="1"/>
  <c r="M186" i="2"/>
  <c r="O186" i="2" s="1"/>
  <c r="I185" i="2"/>
  <c r="M185" i="2" s="1"/>
  <c r="O185" i="2" s="1"/>
  <c r="I184" i="2"/>
  <c r="M184" i="2" s="1"/>
  <c r="O184" i="2" s="1"/>
  <c r="M181" i="2"/>
  <c r="M180" i="2"/>
  <c r="O180" i="2" s="1"/>
  <c r="M179" i="2"/>
  <c r="O179" i="2" s="1"/>
  <c r="M178" i="2"/>
  <c r="O178" i="2" s="1"/>
  <c r="M177" i="2"/>
  <c r="O177" i="2" s="1"/>
  <c r="I176" i="2"/>
  <c r="M176" i="2" s="1"/>
  <c r="O176" i="2" s="1"/>
  <c r="I175" i="2"/>
  <c r="M175" i="2" s="1"/>
  <c r="O175" i="2" s="1"/>
  <c r="M172" i="2"/>
  <c r="O171" i="2"/>
  <c r="M169" i="2"/>
  <c r="O169" i="2" s="1"/>
  <c r="O168" i="2"/>
  <c r="I167" i="2"/>
  <c r="M167" i="2" s="1"/>
  <c r="O167" i="2" s="1"/>
  <c r="I166" i="2"/>
  <c r="M166" i="2" s="1"/>
  <c r="O166" i="2" s="1"/>
  <c r="M160" i="2"/>
  <c r="M159" i="2"/>
  <c r="O159" i="2" s="1"/>
  <c r="M158" i="2"/>
  <c r="O158" i="2" s="1"/>
  <c r="M157" i="2"/>
  <c r="O157" i="2" s="1"/>
  <c r="M156" i="2"/>
  <c r="O156" i="2" s="1"/>
  <c r="I155" i="2"/>
  <c r="M155" i="2" s="1"/>
  <c r="O155" i="2" s="1"/>
  <c r="I154" i="2"/>
  <c r="M154" i="2" s="1"/>
  <c r="O154" i="2" s="1"/>
  <c r="M150" i="2"/>
  <c r="M149" i="2"/>
  <c r="O149" i="2" s="1"/>
  <c r="M148" i="2"/>
  <c r="O148" i="2" s="1"/>
  <c r="M147" i="2"/>
  <c r="O147" i="2" s="1"/>
  <c r="M146" i="2"/>
  <c r="O146" i="2" s="1"/>
  <c r="I145" i="2"/>
  <c r="M145" i="2" s="1"/>
  <c r="O145" i="2" s="1"/>
  <c r="I144" i="2"/>
  <c r="M144" i="2" s="1"/>
  <c r="O144" i="2" s="1"/>
  <c r="M141" i="2"/>
  <c r="M140" i="2"/>
  <c r="O140" i="2" s="1"/>
  <c r="M139" i="2"/>
  <c r="O139" i="2" s="1"/>
  <c r="M138" i="2"/>
  <c r="O138" i="2" s="1"/>
  <c r="M137" i="2"/>
  <c r="O137" i="2" s="1"/>
  <c r="I136" i="2"/>
  <c r="M136" i="2" s="1"/>
  <c r="O136" i="2" s="1"/>
  <c r="I135" i="2"/>
  <c r="M135" i="2" s="1"/>
  <c r="O135" i="2" s="1"/>
  <c r="M129" i="2"/>
  <c r="M128" i="2"/>
  <c r="O128" i="2" s="1"/>
  <c r="M127" i="2"/>
  <c r="O127" i="2" s="1"/>
  <c r="M126" i="2"/>
  <c r="O126" i="2" s="1"/>
  <c r="M125" i="2"/>
  <c r="O125" i="2" s="1"/>
  <c r="I124" i="2"/>
  <c r="M124" i="2" s="1"/>
  <c r="O124" i="2" s="1"/>
  <c r="I123" i="2"/>
  <c r="M123" i="2" s="1"/>
  <c r="O123" i="2" s="1"/>
  <c r="M119" i="2"/>
  <c r="M118" i="2"/>
  <c r="O118" i="2" s="1"/>
  <c r="M117" i="2"/>
  <c r="M116" i="2"/>
  <c r="O116" i="2" s="1"/>
  <c r="M115" i="2"/>
  <c r="O115" i="2" s="1"/>
  <c r="I114" i="2"/>
  <c r="M114" i="2" s="1"/>
  <c r="O114" i="2" s="1"/>
  <c r="I113" i="2"/>
  <c r="M113" i="2" s="1"/>
  <c r="O113" i="2" s="1"/>
  <c r="M109" i="2"/>
  <c r="M108" i="2"/>
  <c r="O108" i="2" s="1"/>
  <c r="M106" i="2"/>
  <c r="O106" i="2" s="1"/>
  <c r="M105" i="2"/>
  <c r="O105" i="2" s="1"/>
  <c r="I104" i="2"/>
  <c r="M104" i="2" s="1"/>
  <c r="O104" i="2" s="1"/>
  <c r="I103" i="2"/>
  <c r="M103" i="2" s="1"/>
  <c r="O103" i="2" s="1"/>
  <c r="M92" i="2"/>
  <c r="M91" i="2"/>
  <c r="O91" i="2" s="1"/>
  <c r="M89" i="2"/>
  <c r="O89" i="2" s="1"/>
  <c r="M88" i="2"/>
  <c r="O88" i="2" s="1"/>
  <c r="I87" i="2"/>
  <c r="M87" i="2" s="1"/>
  <c r="O87" i="2" s="1"/>
  <c r="I86" i="2"/>
  <c r="M86" i="2" s="1"/>
  <c r="O86" i="2" s="1"/>
  <c r="M73" i="2"/>
  <c r="M72" i="2"/>
  <c r="O72" i="2" s="1"/>
  <c r="M71" i="2"/>
  <c r="O71" i="2" s="1"/>
  <c r="M70" i="2"/>
  <c r="O70" i="2" s="1"/>
  <c r="M69" i="2"/>
  <c r="O69" i="2" s="1"/>
  <c r="I68" i="2"/>
  <c r="M68" i="2" s="1"/>
  <c r="O68" i="2" s="1"/>
  <c r="I67" i="2"/>
  <c r="M67" i="2" s="1"/>
  <c r="O67" i="2" s="1"/>
  <c r="M59" i="2"/>
  <c r="M58" i="2"/>
  <c r="O58" i="2" s="1"/>
  <c r="M57" i="2"/>
  <c r="O57" i="2" s="1"/>
  <c r="M56" i="2"/>
  <c r="O56" i="2" s="1"/>
  <c r="M55" i="2"/>
  <c r="O55" i="2" s="1"/>
  <c r="I54" i="2"/>
  <c r="M54" i="2" s="1"/>
  <c r="O54" i="2" s="1"/>
  <c r="I53" i="2"/>
  <c r="M53" i="2" s="1"/>
  <c r="O53" i="2" s="1"/>
  <c r="M48" i="2"/>
  <c r="M47" i="2"/>
  <c r="O47" i="2" s="1"/>
  <c r="M46" i="2"/>
  <c r="O46" i="2" s="1"/>
  <c r="M45" i="2"/>
  <c r="O45" i="2" s="1"/>
  <c r="M44" i="2"/>
  <c r="O44" i="2" s="1"/>
  <c r="I43" i="2"/>
  <c r="M43" i="2" s="1"/>
  <c r="O43" i="2" s="1"/>
  <c r="I42" i="2"/>
  <c r="M42" i="2" s="1"/>
  <c r="O42" i="2" s="1"/>
  <c r="M39" i="2"/>
  <c r="M38" i="2"/>
  <c r="O38" i="2" s="1"/>
  <c r="M37" i="2"/>
  <c r="O37" i="2" s="1"/>
  <c r="M36" i="2"/>
  <c r="O36" i="2" s="1"/>
  <c r="M35" i="2"/>
  <c r="O35" i="2" s="1"/>
  <c r="I34" i="2"/>
  <c r="M34" i="2" s="1"/>
  <c r="O34" i="2" s="1"/>
  <c r="I33" i="2"/>
  <c r="M33" i="2" s="1"/>
  <c r="O33" i="2" s="1"/>
  <c r="M28" i="2"/>
  <c r="M27" i="2"/>
  <c r="O27" i="2" s="1"/>
  <c r="M26" i="2"/>
  <c r="O26" i="2" s="1"/>
  <c r="M25" i="2"/>
  <c r="O25" i="2" s="1"/>
  <c r="M24" i="2"/>
  <c r="O24" i="2" s="1"/>
  <c r="I23" i="2"/>
  <c r="M23" i="2" s="1"/>
  <c r="O23" i="2" s="1"/>
  <c r="I22" i="2"/>
  <c r="M22" i="2" s="1"/>
  <c r="O22" i="2" s="1"/>
  <c r="M18" i="2"/>
  <c r="M17" i="2"/>
  <c r="O17" i="2" s="1"/>
  <c r="M16" i="2"/>
  <c r="O16" i="2" s="1"/>
  <c r="M15" i="2"/>
  <c r="O15" i="2" s="1"/>
  <c r="M14" i="2"/>
  <c r="O14" i="2" s="1"/>
  <c r="I13" i="2"/>
  <c r="M13" i="2" s="1"/>
  <c r="O13" i="2" s="1"/>
  <c r="I12" i="2"/>
  <c r="M12" i="2" s="1"/>
  <c r="O12" i="2" s="1"/>
  <c r="M8" i="2"/>
  <c r="M7" i="2"/>
  <c r="O7" i="2" s="1"/>
  <c r="M6" i="2"/>
  <c r="O6" i="2" s="1"/>
  <c r="M5" i="2"/>
  <c r="O5" i="2" s="1"/>
  <c r="M4" i="2"/>
  <c r="O4" i="2" s="1"/>
  <c r="I3" i="2"/>
  <c r="M3" i="2" s="1"/>
  <c r="O3" i="2" s="1"/>
  <c r="I2" i="2"/>
  <c r="M2" i="2" s="1"/>
  <c r="O2" i="2" s="1"/>
  <c r="O117" i="2" l="1"/>
  <c r="O120" i="2" s="1"/>
  <c r="O618" i="2"/>
  <c r="O621" i="2" s="1"/>
  <c r="O466" i="2"/>
  <c r="O9" i="2"/>
  <c r="O29" i="2"/>
  <c r="O19" i="2"/>
  <c r="O694" i="2"/>
  <c r="O215" i="2"/>
  <c r="M240" i="2"/>
  <c r="O240" i="2" s="1"/>
  <c r="O246" i="2" s="1"/>
  <c r="O40" i="2"/>
  <c r="O527" i="2"/>
  <c r="O842" i="2"/>
  <c r="O611" i="2"/>
  <c r="O361" i="2"/>
  <c r="O224" i="2"/>
  <c r="O173" i="2"/>
  <c r="O288" i="2"/>
  <c r="O487" i="2"/>
  <c r="O512" i="2"/>
  <c r="O191" i="2"/>
  <c r="O670" i="2"/>
  <c r="O161" i="2"/>
  <c r="O318" i="2"/>
  <c r="O642" i="2"/>
  <c r="O652" i="2"/>
  <c r="O853" i="2"/>
  <c r="O255" i="2"/>
  <c r="O863" i="2"/>
  <c r="O60" i="2"/>
  <c r="O267" i="2"/>
  <c r="O548" i="2"/>
  <c r="O568" i="2"/>
  <c r="O661" i="2"/>
  <c r="O734" i="2"/>
  <c r="O151" i="2"/>
  <c r="O277" i="2"/>
  <c r="O456" i="2"/>
  <c r="O763" i="2"/>
  <c r="O873" i="2"/>
  <c r="O49" i="2"/>
  <c r="O110" i="2"/>
  <c r="O341" i="2"/>
  <c r="O397" i="2"/>
  <c r="O477" i="2"/>
  <c r="O894" i="2"/>
  <c r="O93" i="2"/>
  <c r="O235" i="2"/>
  <c r="O299" i="2"/>
  <c r="O74" i="2"/>
  <c r="O142" i="2"/>
  <c r="O204" i="2"/>
  <c r="O352" i="2"/>
  <c r="O382" i="2"/>
  <c r="O407" i="2"/>
  <c r="O500" i="2"/>
  <c r="O680" i="2"/>
  <c r="O801" i="2"/>
  <c r="O811" i="2"/>
  <c r="O330" i="2"/>
  <c r="O433" i="2"/>
  <c r="O182" i="2"/>
  <c r="O130" i="2"/>
  <c r="O309" i="2"/>
  <c r="O445" i="2"/>
  <c r="O589" i="2"/>
  <c r="O705" i="2"/>
  <c r="O724" i="2"/>
  <c r="O884" i="2"/>
  <c r="O538" i="2"/>
  <c r="O558" i="2"/>
  <c r="O577" i="2"/>
  <c r="O779" i="2"/>
  <c r="O631" i="2"/>
  <c r="O754" i="2"/>
  <c r="O790" i="2"/>
  <c r="O830" i="2"/>
  <c r="O904" i="2"/>
  <c r="M162" i="3" l="1"/>
  <c r="O162" i="3" s="1"/>
  <c r="M161" i="3"/>
  <c r="O161" i="3" s="1"/>
  <c r="I160" i="3"/>
  <c r="M160" i="3" s="1"/>
  <c r="O160" i="3" s="1"/>
  <c r="I159" i="3"/>
  <c r="M159" i="3" s="1"/>
  <c r="O159" i="3" s="1"/>
  <c r="M153" i="3"/>
  <c r="O153" i="3" s="1"/>
  <c r="M152" i="3"/>
  <c r="O152" i="3" s="1"/>
  <c r="I151" i="3"/>
  <c r="M151" i="3" s="1"/>
  <c r="O151" i="3" s="1"/>
  <c r="I150" i="3"/>
  <c r="M150" i="3" s="1"/>
  <c r="O150" i="3" s="1"/>
  <c r="M143" i="3"/>
  <c r="O143" i="3" s="1"/>
  <c r="M142" i="3"/>
  <c r="O142" i="3" s="1"/>
  <c r="I141" i="3"/>
  <c r="M141" i="3" s="1"/>
  <c r="O141" i="3" s="1"/>
  <c r="I140" i="3"/>
  <c r="M140" i="3" s="1"/>
  <c r="O140" i="3" s="1"/>
  <c r="M132" i="3"/>
  <c r="O132" i="3" s="1"/>
  <c r="M131" i="3"/>
  <c r="O131" i="3" s="1"/>
  <c r="I130" i="3"/>
  <c r="M130" i="3" s="1"/>
  <c r="O130" i="3" s="1"/>
  <c r="I129" i="3"/>
  <c r="M129" i="3" s="1"/>
  <c r="O129" i="3" s="1"/>
  <c r="M122" i="3"/>
  <c r="O122" i="3" s="1"/>
  <c r="M121" i="3"/>
  <c r="O121" i="3" s="1"/>
  <c r="I120" i="3"/>
  <c r="M120" i="3" s="1"/>
  <c r="O120" i="3" s="1"/>
  <c r="I119" i="3"/>
  <c r="M119" i="3" s="1"/>
  <c r="O119" i="3" s="1"/>
  <c r="M111" i="3"/>
  <c r="O111" i="3" s="1"/>
  <c r="M110" i="3"/>
  <c r="O110" i="3" s="1"/>
  <c r="I109" i="3"/>
  <c r="M109" i="3" s="1"/>
  <c r="O109" i="3" s="1"/>
  <c r="I108" i="3"/>
  <c r="M108" i="3" s="1"/>
  <c r="O108" i="3" s="1"/>
  <c r="O163" i="3" l="1"/>
  <c r="O133" i="3"/>
  <c r="O144" i="3"/>
  <c r="O123" i="3"/>
  <c r="O154" i="3"/>
  <c r="O112" i="3"/>
  <c r="M101" i="3" l="1"/>
  <c r="O101" i="3" s="1"/>
  <c r="M100" i="3"/>
  <c r="O100" i="3" s="1"/>
  <c r="I99" i="3"/>
  <c r="M99" i="3" s="1"/>
  <c r="O99" i="3" s="1"/>
  <c r="I98" i="3"/>
  <c r="M98" i="3" s="1"/>
  <c r="O98" i="3" s="1"/>
  <c r="M92" i="3"/>
  <c r="O92" i="3" s="1"/>
  <c r="M91" i="3"/>
  <c r="O91" i="3" s="1"/>
  <c r="I90" i="3"/>
  <c r="M90" i="3" s="1"/>
  <c r="O90" i="3" s="1"/>
  <c r="I89" i="3"/>
  <c r="M89" i="3" s="1"/>
  <c r="O89" i="3" s="1"/>
  <c r="M85" i="3"/>
  <c r="O85" i="3" s="1"/>
  <c r="M84" i="3"/>
  <c r="O84" i="3" s="1"/>
  <c r="I83" i="3"/>
  <c r="M83" i="3" s="1"/>
  <c r="O83" i="3" s="1"/>
  <c r="I82" i="3"/>
  <c r="M82" i="3" s="1"/>
  <c r="O82" i="3" s="1"/>
  <c r="M77" i="3"/>
  <c r="O77" i="3" s="1"/>
  <c r="M76" i="3"/>
  <c r="O76" i="3" s="1"/>
  <c r="I75" i="3"/>
  <c r="M75" i="3" s="1"/>
  <c r="O75" i="3" s="1"/>
  <c r="I74" i="3"/>
  <c r="M74" i="3" s="1"/>
  <c r="O74" i="3" s="1"/>
  <c r="M70" i="3"/>
  <c r="O70" i="3" s="1"/>
  <c r="M69" i="3"/>
  <c r="O69" i="3" s="1"/>
  <c r="I68" i="3"/>
  <c r="M68" i="3" s="1"/>
  <c r="O68" i="3" s="1"/>
  <c r="I67" i="3"/>
  <c r="M67" i="3" s="1"/>
  <c r="O67" i="3" s="1"/>
  <c r="M62" i="3"/>
  <c r="O62" i="3" s="1"/>
  <c r="M61" i="3"/>
  <c r="O61" i="3" s="1"/>
  <c r="I60" i="3"/>
  <c r="M60" i="3" s="1"/>
  <c r="O60" i="3" s="1"/>
  <c r="I59" i="3"/>
  <c r="M59" i="3" s="1"/>
  <c r="O59" i="3" s="1"/>
  <c r="M54" i="3"/>
  <c r="O54" i="3" s="1"/>
  <c r="M53" i="3"/>
  <c r="O53" i="3" s="1"/>
  <c r="I52" i="3"/>
  <c r="M52" i="3" s="1"/>
  <c r="O52" i="3" s="1"/>
  <c r="I51" i="3"/>
  <c r="M51" i="3" s="1"/>
  <c r="O51" i="3" s="1"/>
  <c r="M47" i="3"/>
  <c r="O47" i="3" s="1"/>
  <c r="M46" i="3"/>
  <c r="O46" i="3" s="1"/>
  <c r="I45" i="3"/>
  <c r="M45" i="3" s="1"/>
  <c r="O45" i="3" s="1"/>
  <c r="I44" i="3"/>
  <c r="M44" i="3" s="1"/>
  <c r="O44" i="3" s="1"/>
  <c r="M40" i="3"/>
  <c r="O40" i="3" s="1"/>
  <c r="M39" i="3"/>
  <c r="O39" i="3" s="1"/>
  <c r="I38" i="3"/>
  <c r="M38" i="3" s="1"/>
  <c r="O38" i="3" s="1"/>
  <c r="I37" i="3"/>
  <c r="M37" i="3" s="1"/>
  <c r="O37" i="3" s="1"/>
  <c r="M33" i="3"/>
  <c r="O33" i="3" s="1"/>
  <c r="M32" i="3"/>
  <c r="O32" i="3" s="1"/>
  <c r="I31" i="3"/>
  <c r="M31" i="3" s="1"/>
  <c r="O31" i="3" s="1"/>
  <c r="I30" i="3"/>
  <c r="M30" i="3" s="1"/>
  <c r="O30" i="3" s="1"/>
  <c r="M26" i="3"/>
  <c r="O26" i="3" s="1"/>
  <c r="M25" i="3"/>
  <c r="O25" i="3" s="1"/>
  <c r="I24" i="3"/>
  <c r="M24" i="3" s="1"/>
  <c r="O24" i="3" s="1"/>
  <c r="I23" i="3"/>
  <c r="M23" i="3" s="1"/>
  <c r="O23" i="3" s="1"/>
  <c r="M19" i="3"/>
  <c r="O19" i="3" s="1"/>
  <c r="M18" i="3"/>
  <c r="O18" i="3" s="1"/>
  <c r="I17" i="3"/>
  <c r="M17" i="3" s="1"/>
  <c r="O17" i="3" s="1"/>
  <c r="I16" i="3"/>
  <c r="M16" i="3" s="1"/>
  <c r="O16" i="3" s="1"/>
  <c r="O102" i="3" l="1"/>
  <c r="O55" i="3"/>
  <c r="O27" i="3"/>
  <c r="O34" i="3"/>
  <c r="O71" i="3"/>
  <c r="O41" i="3"/>
  <c r="O20" i="3"/>
  <c r="O48" i="3"/>
  <c r="O78" i="3"/>
  <c r="O63" i="3"/>
  <c r="O86" i="3"/>
  <c r="O93" i="3"/>
  <c r="M12" i="3"/>
  <c r="O12" i="3" s="1"/>
  <c r="M11" i="3"/>
  <c r="O11" i="3" s="1"/>
  <c r="M10" i="3"/>
  <c r="O10" i="3" s="1"/>
  <c r="M9" i="3"/>
  <c r="O9" i="3" s="1"/>
  <c r="M8" i="3"/>
  <c r="O8" i="3" s="1"/>
  <c r="I7" i="3"/>
  <c r="M7" i="3" s="1"/>
  <c r="O7" i="3" s="1"/>
  <c r="M6" i="3"/>
  <c r="O6" i="3" s="1"/>
  <c r="O13" i="3" l="1"/>
</calcChain>
</file>

<file path=xl/sharedStrings.xml><?xml version="1.0" encoding="utf-8"?>
<sst xmlns="http://schemas.openxmlformats.org/spreadsheetml/2006/main" count="3576" uniqueCount="201">
  <si>
    <t xml:space="preserve">اسم العميل </t>
  </si>
  <si>
    <t>رقم الشقة</t>
  </si>
  <si>
    <t xml:space="preserve">الاستهلاك </t>
  </si>
  <si>
    <t>م</t>
  </si>
  <si>
    <t>افراح الرماح</t>
  </si>
  <si>
    <t>عمار القوطاري</t>
  </si>
  <si>
    <t>سامي العلفي</t>
  </si>
  <si>
    <t>عمار عقلان</t>
  </si>
  <si>
    <t>صفوان العامري</t>
  </si>
  <si>
    <t>تاريخ القراءة الحالية</t>
  </si>
  <si>
    <t>رسوم اشتراك</t>
  </si>
  <si>
    <t xml:space="preserve">المبلغ المسدد </t>
  </si>
  <si>
    <t>المبلغ الباقي</t>
  </si>
  <si>
    <t xml:space="preserve">  قيمة الكيلو</t>
  </si>
  <si>
    <t>المتاخرات</t>
  </si>
  <si>
    <t>قيمه الاستهلاك+ الاشتراك</t>
  </si>
  <si>
    <t>سمير نعمان</t>
  </si>
  <si>
    <t>جمال الشهاري</t>
  </si>
  <si>
    <t>شركة فاستك</t>
  </si>
  <si>
    <t>رشاد المليكي</t>
  </si>
  <si>
    <t>سوسن الاكوع</t>
  </si>
  <si>
    <t>وليد القدسي</t>
  </si>
  <si>
    <t>محمد القليسي</t>
  </si>
  <si>
    <t>احمد عرمان</t>
  </si>
  <si>
    <t>حسين الحيوتي</t>
  </si>
  <si>
    <t>محمد الطلوع</t>
  </si>
  <si>
    <t>صدام الشرفي</t>
  </si>
  <si>
    <t>امان الزمر</t>
  </si>
  <si>
    <t>عبدالله الشرفي</t>
  </si>
  <si>
    <t>راجي باصيد</t>
  </si>
  <si>
    <t>انطلاق المتوكل</t>
  </si>
  <si>
    <t>احمد الذهب</t>
  </si>
  <si>
    <t>معين المحاقري</t>
  </si>
  <si>
    <t>محمد الربيدي</t>
  </si>
  <si>
    <t>النوع</t>
  </si>
  <si>
    <t xml:space="preserve">استهلاك كهرباء </t>
  </si>
  <si>
    <t>استهلاك ماء</t>
  </si>
  <si>
    <t>رسوم الخدمات</t>
  </si>
  <si>
    <t>الاجمالي</t>
  </si>
  <si>
    <t>الاشتراك</t>
  </si>
  <si>
    <t>سعر البيع</t>
  </si>
  <si>
    <t>حميدة الشرفي</t>
  </si>
  <si>
    <t xml:space="preserve">خدمات اخرى </t>
  </si>
  <si>
    <t xml:space="preserve">هيثم الجبري </t>
  </si>
  <si>
    <t>اكرم يعقوب+ امال شارة</t>
  </si>
  <si>
    <t>احمد عبدالقوي عثمان</t>
  </si>
  <si>
    <t>عبدالله عبد الرسول</t>
  </si>
  <si>
    <t>امة الالة الحوري+ علا الشامي</t>
  </si>
  <si>
    <t>يحي السياغي+ سوسن العريقي</t>
  </si>
  <si>
    <t>سعاد الحبشي</t>
  </si>
  <si>
    <t>عبدالرحمن المتوكل</t>
  </si>
  <si>
    <t>زهير علي الصعدي</t>
  </si>
  <si>
    <t>محمد الديلمي</t>
  </si>
  <si>
    <t>ياسمين الخاوي</t>
  </si>
  <si>
    <t>هاني عيصوران</t>
  </si>
  <si>
    <t>فتحي غالب</t>
  </si>
  <si>
    <t>نصير القائفي</t>
  </si>
  <si>
    <t>خالد شنان</t>
  </si>
  <si>
    <t>عبدالناصر منصور</t>
  </si>
  <si>
    <t>نجيب الصايدي</t>
  </si>
  <si>
    <t>حسناء العنسي</t>
  </si>
  <si>
    <t>علي عبدالوارث القباطي</t>
  </si>
  <si>
    <t>خيري الرويشان</t>
  </si>
  <si>
    <t>عبدالله الكبودي</t>
  </si>
  <si>
    <t>طارق الحظاء</t>
  </si>
  <si>
    <t>عبدالكريم درحان+ صالح درحان</t>
  </si>
  <si>
    <t>سعيد فضل</t>
  </si>
  <si>
    <t>يسري راصع</t>
  </si>
  <si>
    <t>عبير راصع</t>
  </si>
  <si>
    <t>ارزاق مهيوب</t>
  </si>
  <si>
    <t>رشاد الصايدي</t>
  </si>
  <si>
    <t>عبدالله مداري</t>
  </si>
  <si>
    <t>مروان عبدالدائم</t>
  </si>
  <si>
    <t xml:space="preserve">فهد سالم </t>
  </si>
  <si>
    <t>نذير الدوة</t>
  </si>
  <si>
    <t>يحي ياسين</t>
  </si>
  <si>
    <t>اجمالي المبلغ</t>
  </si>
  <si>
    <t>عداد المكتب</t>
  </si>
  <si>
    <t>المصاعد البرج B</t>
  </si>
  <si>
    <t>عداد احمد مسطح</t>
  </si>
  <si>
    <t>عداد فتحي الشيعي</t>
  </si>
  <si>
    <t>غطاس البرج B</t>
  </si>
  <si>
    <t>دينمو الرش</t>
  </si>
  <si>
    <t>البير</t>
  </si>
  <si>
    <t>نشوان عباد</t>
  </si>
  <si>
    <t>اشتراك الصرف الصحي</t>
  </si>
  <si>
    <t>عداد الماء الرئسي</t>
  </si>
  <si>
    <t>عبدالله راصع</t>
  </si>
  <si>
    <t>.</t>
  </si>
  <si>
    <t xml:space="preserve">عبدالله زبارة </t>
  </si>
  <si>
    <t>خدمات اخرى</t>
  </si>
  <si>
    <t xml:space="preserve">اشتراك الصرف الصحي </t>
  </si>
  <si>
    <t xml:space="preserve">اشتراك القنوات الرياضية </t>
  </si>
  <si>
    <t xml:space="preserve">امة المجيب الدرة </t>
  </si>
  <si>
    <t xml:space="preserve">عبده محمد عبده </t>
  </si>
  <si>
    <t xml:space="preserve">غالب ردمان </t>
  </si>
  <si>
    <t>المتاخرات+ اشتراكات</t>
  </si>
  <si>
    <t>احمد يوسف</t>
  </si>
  <si>
    <t xml:space="preserve">ورثة خالد مهيوب </t>
  </si>
  <si>
    <t xml:space="preserve">نورهان السماوي </t>
  </si>
  <si>
    <t>حسن محمد سيف</t>
  </si>
  <si>
    <t>مطلوب الشرفي</t>
  </si>
  <si>
    <t xml:space="preserve">مطلوب الشرفي </t>
  </si>
  <si>
    <t xml:space="preserve">احمد يوسف </t>
  </si>
  <si>
    <t>205-305</t>
  </si>
  <si>
    <t>هناء حسن السقاف</t>
  </si>
  <si>
    <t xml:space="preserve">مؤسسة عبدالعزيز التام </t>
  </si>
  <si>
    <t>محمد صالح عوض</t>
  </si>
  <si>
    <t>302-402</t>
  </si>
  <si>
    <t>المتاخرات+اشتراك</t>
  </si>
  <si>
    <t xml:space="preserve"> إبراهيم الحوثي</t>
  </si>
  <si>
    <t>فارس العليي</t>
  </si>
  <si>
    <t>رضية المتوكل</t>
  </si>
  <si>
    <t>الهام الوشلي</t>
  </si>
  <si>
    <t>هاشم حمود هاشم</t>
  </si>
  <si>
    <t>505-405</t>
  </si>
  <si>
    <t xml:space="preserve">ركان الانسي </t>
  </si>
  <si>
    <t>واعد عوض + اكرام العنسي</t>
  </si>
  <si>
    <t>فاطمة احمد علوي المستاجر الكبسي</t>
  </si>
  <si>
    <t xml:space="preserve">ورثة فيصل درهم </t>
  </si>
  <si>
    <t>محفوظ بامشموس</t>
  </si>
  <si>
    <t>خالد سلام</t>
  </si>
  <si>
    <t>602+702</t>
  </si>
  <si>
    <t>رشاد حسان بجاش</t>
  </si>
  <si>
    <t>605+705</t>
  </si>
  <si>
    <t>طلال الدعيس</t>
  </si>
  <si>
    <t>جمال حمود الشهاري</t>
  </si>
  <si>
    <t>علي عبدالباري النهاري</t>
  </si>
  <si>
    <t>ريم المفلحي</t>
  </si>
  <si>
    <t>عادل عبدالحميد</t>
  </si>
  <si>
    <t>صهيب الضبي</t>
  </si>
  <si>
    <t>802+902</t>
  </si>
  <si>
    <t>نجيب العديني</t>
  </si>
  <si>
    <t>اسامة حسن سيف</t>
  </si>
  <si>
    <t>805+905</t>
  </si>
  <si>
    <t>سامر سيف</t>
  </si>
  <si>
    <t>عبداالله الشرفي + صدام الشرفي</t>
  </si>
  <si>
    <t xml:space="preserve">مروان عبالدائم </t>
  </si>
  <si>
    <t>ابراهيم راصع</t>
  </si>
  <si>
    <t>سامي حسن سيف</t>
  </si>
  <si>
    <t xml:space="preserve">سعاد احمد العنسي </t>
  </si>
  <si>
    <t>1002-1102</t>
  </si>
  <si>
    <t>مطلوب عاطف الشرفي</t>
  </si>
  <si>
    <t>امة الكريم عبدالقادر</t>
  </si>
  <si>
    <t>امل الرجوي</t>
  </si>
  <si>
    <t>1005+1105</t>
  </si>
  <si>
    <t>عبداالله قائد الدهبلي</t>
  </si>
  <si>
    <t>مازن عبدالله الشرفي</t>
  </si>
  <si>
    <t xml:space="preserve">محمود الشرفي </t>
  </si>
  <si>
    <t>امة الغني يحي المتوكل</t>
  </si>
  <si>
    <t>يحي اسماعيل عبدالقادر</t>
  </si>
  <si>
    <t>1202+1302</t>
  </si>
  <si>
    <t>غسان الحبشي+ افتكار شرهان</t>
  </si>
  <si>
    <t>1205+1305</t>
  </si>
  <si>
    <t>شرف يحي الماوري</t>
  </si>
  <si>
    <t>سميرة احمد المنصوب</t>
  </si>
  <si>
    <t>صابحة محمد مساوى</t>
  </si>
  <si>
    <t xml:space="preserve">زهير راصع </t>
  </si>
  <si>
    <t>شفيق عبدة حمادي</t>
  </si>
  <si>
    <t>محمد احمد عبيد</t>
  </si>
  <si>
    <t>مروة صادق ابو راس</t>
  </si>
  <si>
    <t>1402+1502</t>
  </si>
  <si>
    <t>هشام بجاش+ امل ابو منصر</t>
  </si>
  <si>
    <t>تهاني</t>
  </si>
  <si>
    <t>نادر العامري</t>
  </si>
  <si>
    <t>1405+1505</t>
  </si>
  <si>
    <t>فهمي علي جميل</t>
  </si>
  <si>
    <t>ليلي توفيق انعم</t>
  </si>
  <si>
    <t>علاء دبوان</t>
  </si>
  <si>
    <t>غدير راصع</t>
  </si>
  <si>
    <t>عداد السوبر</t>
  </si>
  <si>
    <t>نزار الشويطر</t>
  </si>
  <si>
    <t>صابرين الاغبري</t>
  </si>
  <si>
    <t xml:space="preserve">رياض الحروي </t>
  </si>
  <si>
    <t>مصعد رقم 1البرج A</t>
  </si>
  <si>
    <t>مصعد رقم2البرج A</t>
  </si>
  <si>
    <t>الدرج الأرضي</t>
  </si>
  <si>
    <t>البدروم +الهنجر+النفق</t>
  </si>
  <si>
    <t>عددالتجاري الرئيسي البرج A</t>
  </si>
  <si>
    <t>غطاس البرج A</t>
  </si>
  <si>
    <t xml:space="preserve">برج B رقابة تجاري </t>
  </si>
  <si>
    <t xml:space="preserve">برج A رقابة تجاري </t>
  </si>
  <si>
    <t xml:space="preserve">خدمات  رقابة تجاري </t>
  </si>
  <si>
    <t>+</t>
  </si>
  <si>
    <t xml:space="preserve">تاريخ القراءة الحالية </t>
  </si>
  <si>
    <t xml:space="preserve">هويدا  العريقي </t>
  </si>
  <si>
    <t>ث</t>
  </si>
  <si>
    <t>عداد تجاري البرج A</t>
  </si>
  <si>
    <t xml:space="preserve">عداتجاري البرج B </t>
  </si>
  <si>
    <t>المتأخرات</t>
  </si>
  <si>
    <t xml:space="preserve">      </t>
  </si>
  <si>
    <t>امة الكريم احمد</t>
  </si>
  <si>
    <t>ماجد الحمادي</t>
  </si>
  <si>
    <t>كهرباء البرج A+B من الموالدات</t>
  </si>
  <si>
    <t xml:space="preserve">تاريخ القراءة السابقة </t>
  </si>
  <si>
    <t xml:space="preserve">اشواق الفران </t>
  </si>
  <si>
    <t xml:space="preserve">القراءة الحالية  </t>
  </si>
  <si>
    <t>القراءة الحالية</t>
  </si>
  <si>
    <t>القراءة السابقة</t>
  </si>
  <si>
    <t>تاريخ القراءة السابقة</t>
  </si>
  <si>
    <t xml:space="preserve">شركة جميرا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</si>
</sst>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ر_._ي_._‏_-;\-* #,##0.00\ _ر_._ي_._‏_-;_-* &quot;-&quot;??\ _ر_._ي_._‏_-;_-@_-"/>
    <numFmt numFmtId="165" formatCode="_(* #,##0.00_);_(* \(#,##0.00\);_(* &quot;-&quot;??_);_(@_)"/>
    <numFmt numFmtId="166" formatCode="_-* #,##0.00\ _ر_._س_._‏_-;\-* #,##0.00\ _ر_._س_._‏_-;_-* &quot;-&quot;??\ _ر_._س_._‏_-;_-@_-"/>
  </numFmts>
  <fonts count="1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b/>
      <sz val="24"/>
      <color theme="1"/>
      <name val="Arial"/>
      <family val="2"/>
      <charset val="178"/>
      <scheme val="minor"/>
    </font>
    <font>
      <b/>
      <sz val="2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24"/>
      <name val="Arial"/>
      <family val="2"/>
      <charset val="178"/>
      <scheme val="minor"/>
    </font>
    <font>
      <sz val="14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1" applyFont="1" applyAlignment="1">
      <alignment horizontal="center" vertical="center"/>
    </xf>
    <xf numFmtId="165" fontId="2" fillId="0" borderId="0" xfId="1" applyFont="1" applyAlignment="1">
      <alignment wrapText="1"/>
    </xf>
    <xf numFmtId="165" fontId="2" fillId="0" borderId="0" xfId="1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3" fillId="2" borderId="6" xfId="1" applyFont="1" applyFill="1" applyBorder="1" applyAlignment="1">
      <alignment horizontal="center" vertical="center" wrapText="1"/>
    </xf>
    <xf numFmtId="165" fontId="4" fillId="2" borderId="3" xfId="1" applyFont="1" applyFill="1" applyBorder="1" applyAlignment="1">
      <alignment horizontal="center" vertical="center" wrapText="1"/>
    </xf>
    <xf numFmtId="165" fontId="4" fillId="2" borderId="5" xfId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0" borderId="1" xfId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165" fontId="3" fillId="0" borderId="12" xfId="1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1" applyFont="1" applyFill="1" applyBorder="1" applyAlignment="1">
      <alignment horizontal="center" vertical="center" wrapText="1"/>
    </xf>
    <xf numFmtId="165" fontId="4" fillId="2" borderId="1" xfId="1" applyFont="1" applyFill="1" applyBorder="1" applyAlignment="1">
      <alignment horizontal="center" vertical="center" wrapText="1"/>
    </xf>
    <xf numFmtId="165" fontId="4" fillId="2" borderId="1" xfId="1" applyFont="1" applyFill="1" applyBorder="1" applyAlignment="1">
      <alignment horizontal="center" vertical="center"/>
    </xf>
    <xf numFmtId="165" fontId="3" fillId="0" borderId="1" xfId="1" applyFont="1" applyBorder="1" applyAlignment="1">
      <alignment horizontal="center" vertical="center"/>
    </xf>
    <xf numFmtId="165" fontId="3" fillId="0" borderId="1" xfId="1" applyFont="1" applyBorder="1"/>
    <xf numFmtId="165" fontId="3" fillId="0" borderId="1" xfId="1" applyFont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5" fontId="3" fillId="0" borderId="20" xfId="1" applyFont="1" applyBorder="1" applyAlignment="1">
      <alignment horizontal="center" vertical="center" wrapText="1"/>
    </xf>
    <xf numFmtId="165" fontId="3" fillId="0" borderId="20" xfId="1" applyFont="1" applyBorder="1" applyAlignment="1">
      <alignment horizontal="center" vertical="center"/>
    </xf>
    <xf numFmtId="165" fontId="3" fillId="0" borderId="20" xfId="1" applyFont="1" applyBorder="1" applyAlignment="1">
      <alignment wrapText="1"/>
    </xf>
    <xf numFmtId="165" fontId="3" fillId="0" borderId="18" xfId="1" applyFont="1" applyBorder="1"/>
    <xf numFmtId="0" fontId="3" fillId="0" borderId="12" xfId="0" applyFont="1" applyBorder="1" applyAlignment="1">
      <alignment horizontal="center" vertical="center"/>
    </xf>
    <xf numFmtId="165" fontId="3" fillId="0" borderId="12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5" fontId="3" fillId="0" borderId="21" xfId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165" fontId="3" fillId="0" borderId="21" xfId="1" applyFont="1" applyBorder="1" applyAlignment="1">
      <alignment horizontal="center" vertical="center"/>
    </xf>
    <xf numFmtId="165" fontId="3" fillId="0" borderId="21" xfId="1" applyFont="1" applyBorder="1" applyAlignment="1">
      <alignment wrapText="1"/>
    </xf>
    <xf numFmtId="165" fontId="5" fillId="0" borderId="21" xfId="1" applyFont="1" applyBorder="1"/>
    <xf numFmtId="0" fontId="3" fillId="2" borderId="24" xfId="0" applyFont="1" applyFill="1" applyBorder="1" applyAlignment="1">
      <alignment horizontal="center" vertical="center"/>
    </xf>
    <xf numFmtId="165" fontId="3" fillId="0" borderId="0" xfId="1" applyFont="1" applyBorder="1" applyAlignment="1">
      <alignment horizontal="center" vertical="center" wrapText="1"/>
    </xf>
    <xf numFmtId="165" fontId="3" fillId="0" borderId="0" xfId="1" applyFont="1" applyBorder="1" applyAlignment="1">
      <alignment horizontal="center" vertical="center"/>
    </xf>
    <xf numFmtId="165" fontId="3" fillId="0" borderId="0" xfId="1" applyFont="1" applyBorder="1" applyAlignment="1">
      <alignment wrapText="1"/>
    </xf>
    <xf numFmtId="165" fontId="5" fillId="0" borderId="0" xfId="1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5" fontId="3" fillId="0" borderId="25" xfId="1" applyFont="1" applyBorder="1" applyAlignment="1">
      <alignment horizontal="center" vertical="center" wrapText="1"/>
    </xf>
    <xf numFmtId="165" fontId="3" fillId="0" borderId="25" xfId="1" applyFont="1" applyBorder="1" applyAlignment="1">
      <alignment horizontal="center" vertical="center"/>
    </xf>
    <xf numFmtId="165" fontId="3" fillId="0" borderId="25" xfId="1" applyFont="1" applyBorder="1" applyAlignment="1">
      <alignment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65" fontId="3" fillId="0" borderId="28" xfId="1" applyFont="1" applyBorder="1" applyAlignment="1">
      <alignment horizontal="center" vertical="center" wrapText="1"/>
    </xf>
    <xf numFmtId="165" fontId="3" fillId="0" borderId="28" xfId="1" applyFont="1" applyBorder="1" applyAlignment="1">
      <alignment horizontal="center" vertical="center"/>
    </xf>
    <xf numFmtId="165" fontId="3" fillId="0" borderId="10" xfId="1" applyFont="1" applyBorder="1" applyAlignment="1">
      <alignment wrapText="1"/>
    </xf>
    <xf numFmtId="165" fontId="5" fillId="0" borderId="29" xfId="1" applyFont="1" applyBorder="1"/>
    <xf numFmtId="165" fontId="4" fillId="2" borderId="3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0" borderId="2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6" fillId="0" borderId="0" xfId="1" applyFont="1" applyAlignment="1">
      <alignment horizontal="center" vertical="center"/>
    </xf>
    <xf numFmtId="165" fontId="6" fillId="0" borderId="0" xfId="1" applyFont="1" applyAlignment="1">
      <alignment wrapText="1"/>
    </xf>
    <xf numFmtId="165" fontId="6" fillId="0" borderId="0" xfId="1" applyFont="1"/>
    <xf numFmtId="0" fontId="6" fillId="0" borderId="0" xfId="0" applyFont="1"/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5" fontId="6" fillId="2" borderId="6" xfId="1" applyFont="1" applyFill="1" applyBorder="1" applyAlignment="1">
      <alignment horizontal="center" vertical="center" wrapText="1"/>
    </xf>
    <xf numFmtId="165" fontId="7" fillId="2" borderId="3" xfId="1" applyFont="1" applyFill="1" applyBorder="1" applyAlignment="1">
      <alignment horizontal="center" vertical="center" wrapText="1"/>
    </xf>
    <xf numFmtId="165" fontId="7" fillId="2" borderId="5" xfId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165" fontId="6" fillId="0" borderId="20" xfId="1" applyFont="1" applyBorder="1" applyAlignment="1">
      <alignment horizontal="center" vertical="center" wrapText="1"/>
    </xf>
    <xf numFmtId="14" fontId="6" fillId="0" borderId="20" xfId="0" applyNumberFormat="1" applyFont="1" applyBorder="1" applyAlignment="1">
      <alignment horizontal="center" vertical="center"/>
    </xf>
    <xf numFmtId="165" fontId="6" fillId="0" borderId="20" xfId="1" applyFont="1" applyBorder="1" applyAlignment="1">
      <alignment horizontal="center" vertical="center"/>
    </xf>
    <xf numFmtId="165" fontId="6" fillId="0" borderId="20" xfId="1" applyFont="1" applyBorder="1" applyAlignment="1">
      <alignment wrapText="1"/>
    </xf>
    <xf numFmtId="165" fontId="6" fillId="0" borderId="18" xfId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6" fillId="0" borderId="1" xfId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1" applyFont="1" applyBorder="1" applyAlignment="1">
      <alignment horizontal="center" vertical="center"/>
    </xf>
    <xf numFmtId="165" fontId="6" fillId="0" borderId="1" xfId="1" applyFont="1" applyBorder="1" applyAlignment="1">
      <alignment wrapText="1"/>
    </xf>
    <xf numFmtId="165" fontId="6" fillId="0" borderId="12" xfId="1" applyFont="1" applyBorder="1" applyAlignment="1">
      <alignment wrapText="1"/>
    </xf>
    <xf numFmtId="0" fontId="7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5" fontId="7" fillId="0" borderId="25" xfId="1" applyFont="1" applyBorder="1" applyAlignment="1">
      <alignment horizontal="center" vertical="center" wrapText="1"/>
    </xf>
    <xf numFmtId="14" fontId="7" fillId="0" borderId="25" xfId="0" applyNumberFormat="1" applyFont="1" applyBorder="1" applyAlignment="1">
      <alignment horizontal="center" vertical="center"/>
    </xf>
    <xf numFmtId="165" fontId="7" fillId="0" borderId="25" xfId="1" applyFont="1" applyBorder="1" applyAlignment="1">
      <alignment horizontal="center" vertical="center"/>
    </xf>
    <xf numFmtId="165" fontId="7" fillId="0" borderId="35" xfId="1" applyFont="1" applyBorder="1" applyAlignment="1">
      <alignment horizontal="center" vertical="center"/>
    </xf>
    <xf numFmtId="165" fontId="7" fillId="0" borderId="35" xfId="1" applyFont="1" applyBorder="1" applyAlignment="1">
      <alignment wrapText="1"/>
    </xf>
    <xf numFmtId="165" fontId="7" fillId="0" borderId="35" xfId="1" applyFont="1" applyBorder="1"/>
    <xf numFmtId="0" fontId="7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5" fontId="6" fillId="0" borderId="9" xfId="1" applyFont="1" applyBorder="1" applyAlignment="1">
      <alignment horizontal="center" vertical="center"/>
    </xf>
    <xf numFmtId="165" fontId="6" fillId="0" borderId="2" xfId="1" applyFont="1" applyBorder="1" applyAlignment="1">
      <alignment wrapText="1"/>
    </xf>
    <xf numFmtId="165" fontId="6" fillId="0" borderId="19" xfId="1" applyFont="1" applyBorder="1"/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5" fontId="6" fillId="0" borderId="12" xfId="1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6" fillId="0" borderId="12" xfId="1" applyFont="1" applyBorder="1" applyAlignment="1">
      <alignment horizontal="center" vertical="center"/>
    </xf>
    <xf numFmtId="165" fontId="6" fillId="0" borderId="18" xfId="1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165" fontId="6" fillId="0" borderId="35" xfId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5" fontId="6" fillId="0" borderId="35" xfId="1" applyFont="1" applyBorder="1" applyAlignment="1">
      <alignment horizontal="center" vertical="center"/>
    </xf>
    <xf numFmtId="165" fontId="6" fillId="0" borderId="35" xfId="1" applyFont="1" applyBorder="1" applyAlignment="1">
      <alignment wrapText="1"/>
    </xf>
    <xf numFmtId="0" fontId="6" fillId="0" borderId="26" xfId="0" applyFont="1" applyBorder="1" applyAlignment="1">
      <alignment horizontal="center" vertical="center"/>
    </xf>
    <xf numFmtId="165" fontId="6" fillId="0" borderId="26" xfId="1" applyFont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/>
    </xf>
    <xf numFmtId="165" fontId="6" fillId="0" borderId="26" xfId="1" applyFont="1" applyBorder="1" applyAlignment="1">
      <alignment horizontal="center" vertical="center"/>
    </xf>
    <xf numFmtId="165" fontId="6" fillId="0" borderId="36" xfId="1" applyFont="1" applyBorder="1" applyAlignment="1">
      <alignment wrapText="1"/>
    </xf>
    <xf numFmtId="165" fontId="7" fillId="0" borderId="37" xfId="1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0" xfId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65" fontId="6" fillId="0" borderId="0" xfId="1" applyFont="1" applyBorder="1" applyAlignment="1">
      <alignment horizontal="center" vertical="center"/>
    </xf>
    <xf numFmtId="165" fontId="6" fillId="0" borderId="0" xfId="1" applyFont="1" applyBorder="1" applyAlignment="1">
      <alignment wrapText="1"/>
    </xf>
    <xf numFmtId="165" fontId="7" fillId="0" borderId="0" xfId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6" fillId="2" borderId="1" xfId="1" applyFont="1" applyFill="1" applyBorder="1" applyAlignment="1">
      <alignment horizontal="center" vertical="center" wrapText="1"/>
    </xf>
    <xf numFmtId="165" fontId="7" fillId="2" borderId="1" xfId="1" applyFont="1" applyFill="1" applyBorder="1" applyAlignment="1">
      <alignment horizontal="center" vertical="center" wrapText="1"/>
    </xf>
    <xf numFmtId="165" fontId="7" fillId="2" borderId="1" xfId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5" fontId="6" fillId="0" borderId="1" xfId="1" applyFont="1" applyBorder="1"/>
    <xf numFmtId="0" fontId="6" fillId="2" borderId="2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165" fontId="6" fillId="4" borderId="1" xfId="1" applyFont="1" applyFill="1" applyBorder="1" applyAlignment="1">
      <alignment horizontal="center" vertical="center" wrapText="1"/>
    </xf>
    <xf numFmtId="165" fontId="3" fillId="0" borderId="26" xfId="1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165" fontId="6" fillId="4" borderId="20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8" fillId="2" borderId="1" xfId="1" applyFont="1" applyFill="1" applyBorder="1" applyAlignment="1">
      <alignment horizontal="center" vertical="center" wrapText="1"/>
    </xf>
    <xf numFmtId="165" fontId="9" fillId="2" borderId="1" xfId="1" applyFont="1" applyFill="1" applyBorder="1" applyAlignment="1">
      <alignment horizontal="center" vertical="center" wrapText="1"/>
    </xf>
    <xf numFmtId="165" fontId="9" fillId="2" borderId="5" xfId="1" applyFont="1" applyFill="1" applyBorder="1" applyAlignment="1">
      <alignment horizontal="center" vertical="center"/>
    </xf>
    <xf numFmtId="0" fontId="8" fillId="0" borderId="0" xfId="0" applyFont="1"/>
    <xf numFmtId="0" fontId="8" fillId="2" borderId="11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165" fontId="8" fillId="0" borderId="20" xfId="1" applyFont="1" applyBorder="1" applyAlignment="1">
      <alignment horizontal="center" vertical="center" wrapText="1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5" fontId="8" fillId="0" borderId="20" xfId="1" applyFont="1" applyBorder="1" applyAlignment="1">
      <alignment horizontal="center" vertical="center"/>
    </xf>
    <xf numFmtId="165" fontId="8" fillId="0" borderId="20" xfId="1" applyFont="1" applyBorder="1" applyAlignment="1">
      <alignment wrapText="1"/>
    </xf>
    <xf numFmtId="165" fontId="8" fillId="0" borderId="18" xfId="1" applyFont="1" applyBorder="1"/>
    <xf numFmtId="0" fontId="8" fillId="0" borderId="1" xfId="0" applyFont="1" applyBorder="1" applyAlignment="1">
      <alignment horizontal="center" vertical="center" wrapText="1"/>
    </xf>
    <xf numFmtId="165" fontId="8" fillId="0" borderId="1" xfId="1" applyFont="1" applyBorder="1" applyAlignment="1">
      <alignment horizontal="center" vertical="center" wrapText="1"/>
    </xf>
    <xf numFmtId="165" fontId="8" fillId="0" borderId="1" xfId="1" applyFont="1" applyBorder="1" applyAlignment="1">
      <alignment horizontal="center" vertical="center"/>
    </xf>
    <xf numFmtId="165" fontId="8" fillId="0" borderId="1" xfId="1" applyFont="1" applyBorder="1" applyAlignment="1">
      <alignment wrapText="1"/>
    </xf>
    <xf numFmtId="0" fontId="8" fillId="0" borderId="12" xfId="0" applyFont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/>
    </xf>
    <xf numFmtId="165" fontId="8" fillId="0" borderId="12" xfId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65" fontId="8" fillId="0" borderId="12" xfId="1" applyFont="1" applyBorder="1" applyAlignment="1">
      <alignment horizontal="center" vertical="center"/>
    </xf>
    <xf numFmtId="165" fontId="8" fillId="0" borderId="17" xfId="1" applyFont="1" applyBorder="1" applyAlignment="1">
      <alignment horizontal="center" vertical="center"/>
    </xf>
    <xf numFmtId="165" fontId="8" fillId="0" borderId="12" xfId="1" applyFont="1" applyBorder="1" applyAlignment="1">
      <alignment wrapText="1"/>
    </xf>
    <xf numFmtId="0" fontId="8" fillId="0" borderId="25" xfId="0" applyFont="1" applyBorder="1" applyAlignment="1">
      <alignment horizontal="center" vertical="center" wrapText="1"/>
    </xf>
    <xf numFmtId="14" fontId="8" fillId="0" borderId="25" xfId="0" applyNumberFormat="1" applyFont="1" applyBorder="1" applyAlignment="1">
      <alignment horizontal="center" vertical="center"/>
    </xf>
    <xf numFmtId="165" fontId="8" fillId="0" borderId="25" xfId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65" fontId="8" fillId="0" borderId="25" xfId="1" applyFont="1" applyBorder="1" applyAlignment="1">
      <alignment horizontal="center" vertical="center"/>
    </xf>
    <xf numFmtId="165" fontId="8" fillId="0" borderId="25" xfId="1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165" fontId="8" fillId="0" borderId="21" xfId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65" fontId="8" fillId="0" borderId="21" xfId="1" applyFont="1" applyBorder="1" applyAlignment="1">
      <alignment horizontal="center" vertical="center"/>
    </xf>
    <xf numFmtId="165" fontId="8" fillId="0" borderId="21" xfId="1" applyFont="1" applyBorder="1" applyAlignment="1">
      <alignment wrapText="1"/>
    </xf>
    <xf numFmtId="165" fontId="9" fillId="0" borderId="21" xfId="1" applyFont="1" applyBorder="1"/>
    <xf numFmtId="0" fontId="8" fillId="0" borderId="0" xfId="0" applyFont="1" applyAlignment="1">
      <alignment horizontal="center" vertical="center" wrapText="1"/>
    </xf>
    <xf numFmtId="165" fontId="8" fillId="0" borderId="0" xfId="1" applyFont="1" applyAlignment="1">
      <alignment horizontal="center" vertical="center"/>
    </xf>
    <xf numFmtId="165" fontId="8" fillId="0" borderId="0" xfId="1" applyFont="1" applyAlignment="1">
      <alignment wrapText="1"/>
    </xf>
    <xf numFmtId="165" fontId="8" fillId="0" borderId="0" xfId="1" applyFont="1"/>
    <xf numFmtId="0" fontId="8" fillId="0" borderId="9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5" fontId="8" fillId="0" borderId="0" xfId="1" applyFont="1" applyBorder="1" applyAlignment="1">
      <alignment horizontal="center" vertical="center" wrapText="1"/>
    </xf>
    <xf numFmtId="165" fontId="8" fillId="0" borderId="0" xfId="1" applyFont="1" applyBorder="1" applyAlignment="1">
      <alignment horizontal="center" vertical="center"/>
    </xf>
    <xf numFmtId="165" fontId="8" fillId="0" borderId="0" xfId="1" applyFont="1" applyBorder="1" applyAlignment="1">
      <alignment wrapText="1"/>
    </xf>
    <xf numFmtId="165" fontId="9" fillId="0" borderId="29" xfId="1" applyFont="1" applyBorder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5" fontId="8" fillId="4" borderId="1" xfId="1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165" fontId="9" fillId="4" borderId="5" xfId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wrapText="1"/>
    </xf>
    <xf numFmtId="165" fontId="8" fillId="4" borderId="20" xfId="1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165" fontId="8" fillId="4" borderId="20" xfId="1" applyFont="1" applyFill="1" applyBorder="1" applyAlignment="1">
      <alignment horizontal="center" vertical="center"/>
    </xf>
    <xf numFmtId="165" fontId="8" fillId="4" borderId="20" xfId="1" applyFont="1" applyFill="1" applyBorder="1" applyAlignment="1">
      <alignment wrapText="1"/>
    </xf>
    <xf numFmtId="165" fontId="8" fillId="4" borderId="18" xfId="1" applyFont="1" applyFill="1" applyBorder="1"/>
    <xf numFmtId="165" fontId="8" fillId="4" borderId="1" xfId="1" applyFont="1" applyFill="1" applyBorder="1" applyAlignment="1">
      <alignment horizontal="center" vertical="center"/>
    </xf>
    <xf numFmtId="165" fontId="8" fillId="4" borderId="1" xfId="1" applyFont="1" applyFill="1" applyBorder="1" applyAlignment="1">
      <alignment wrapText="1"/>
    </xf>
    <xf numFmtId="0" fontId="8" fillId="4" borderId="12" xfId="0" applyFont="1" applyFill="1" applyBorder="1" applyAlignment="1">
      <alignment horizontal="center" vertical="center" wrapText="1"/>
    </xf>
    <xf numFmtId="14" fontId="8" fillId="4" borderId="12" xfId="0" applyNumberFormat="1" applyFont="1" applyFill="1" applyBorder="1" applyAlignment="1">
      <alignment horizontal="center" vertical="center"/>
    </xf>
    <xf numFmtId="165" fontId="8" fillId="4" borderId="12" xfId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65" fontId="8" fillId="4" borderId="12" xfId="1" applyFont="1" applyFill="1" applyBorder="1" applyAlignment="1">
      <alignment horizontal="center" vertical="center"/>
    </xf>
    <xf numFmtId="165" fontId="8" fillId="4" borderId="17" xfId="1" applyFont="1" applyFill="1" applyBorder="1" applyAlignment="1">
      <alignment horizontal="center" vertical="center"/>
    </xf>
    <xf numFmtId="165" fontId="8" fillId="4" borderId="12" xfId="1" applyFont="1" applyFill="1" applyBorder="1" applyAlignment="1">
      <alignment wrapText="1"/>
    </xf>
    <xf numFmtId="0" fontId="8" fillId="4" borderId="25" xfId="0" applyFont="1" applyFill="1" applyBorder="1" applyAlignment="1">
      <alignment horizontal="center" vertical="center" wrapText="1"/>
    </xf>
    <xf numFmtId="14" fontId="8" fillId="4" borderId="25" xfId="0" applyNumberFormat="1" applyFont="1" applyFill="1" applyBorder="1" applyAlignment="1">
      <alignment horizontal="center" vertical="center"/>
    </xf>
    <xf numFmtId="165" fontId="8" fillId="4" borderId="25" xfId="1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/>
    </xf>
    <xf numFmtId="165" fontId="8" fillId="4" borderId="25" xfId="1" applyFont="1" applyFill="1" applyBorder="1" applyAlignment="1">
      <alignment horizontal="center" vertical="center"/>
    </xf>
    <xf numFmtId="165" fontId="8" fillId="4" borderId="25" xfId="1" applyFont="1" applyFill="1" applyBorder="1" applyAlignment="1">
      <alignment wrapText="1"/>
    </xf>
    <xf numFmtId="0" fontId="8" fillId="4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4" fontId="8" fillId="4" borderId="21" xfId="0" applyNumberFormat="1" applyFont="1" applyFill="1" applyBorder="1" applyAlignment="1">
      <alignment horizontal="center" vertical="center"/>
    </xf>
    <xf numFmtId="165" fontId="8" fillId="4" borderId="21" xfId="1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165" fontId="8" fillId="4" borderId="21" xfId="1" applyFont="1" applyFill="1" applyBorder="1" applyAlignment="1">
      <alignment horizontal="center" vertical="center"/>
    </xf>
    <xf numFmtId="165" fontId="8" fillId="4" borderId="21" xfId="1" applyFont="1" applyFill="1" applyBorder="1" applyAlignment="1">
      <alignment wrapText="1"/>
    </xf>
    <xf numFmtId="165" fontId="9" fillId="4" borderId="21" xfId="1" applyFont="1" applyFill="1" applyBorder="1"/>
    <xf numFmtId="0" fontId="8" fillId="4" borderId="9" xfId="0" applyFont="1" applyFill="1" applyBorder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165" fontId="8" fillId="4" borderId="0" xfId="1" applyFont="1" applyFill="1" applyBorder="1" applyAlignment="1">
      <alignment horizontal="center" vertical="center" wrapText="1"/>
    </xf>
    <xf numFmtId="165" fontId="8" fillId="4" borderId="0" xfId="1" applyFont="1" applyFill="1" applyBorder="1" applyAlignment="1">
      <alignment horizontal="center" vertical="center"/>
    </xf>
    <xf numFmtId="165" fontId="8" fillId="4" borderId="0" xfId="1" applyFont="1" applyFill="1" applyBorder="1" applyAlignment="1">
      <alignment wrapText="1"/>
    </xf>
    <xf numFmtId="165" fontId="9" fillId="4" borderId="29" xfId="1" applyFont="1" applyFill="1" applyBorder="1"/>
    <xf numFmtId="0" fontId="8" fillId="4" borderId="0" xfId="0" applyFont="1" applyFill="1" applyAlignment="1">
      <alignment horizontal="center" vertical="center" wrapText="1"/>
    </xf>
    <xf numFmtId="165" fontId="8" fillId="4" borderId="0" xfId="1" applyFont="1" applyFill="1" applyAlignment="1">
      <alignment horizontal="center" vertical="center"/>
    </xf>
    <xf numFmtId="165" fontId="8" fillId="4" borderId="0" xfId="1" applyFont="1" applyFill="1" applyAlignment="1">
      <alignment wrapText="1"/>
    </xf>
    <xf numFmtId="165" fontId="8" fillId="4" borderId="0" xfId="1" applyFont="1" applyFill="1"/>
    <xf numFmtId="0" fontId="3" fillId="4" borderId="11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 wrapText="1"/>
    </xf>
    <xf numFmtId="165" fontId="3" fillId="0" borderId="1" xfId="1" applyFont="1" applyFill="1" applyBorder="1" applyAlignment="1">
      <alignment horizontal="center" vertical="center" wrapText="1"/>
    </xf>
    <xf numFmtId="165" fontId="3" fillId="0" borderId="20" xfId="1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165" fontId="6" fillId="4" borderId="20" xfId="1" applyFont="1" applyFill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165" fontId="6" fillId="0" borderId="1" xfId="1" applyFont="1" applyFill="1" applyBorder="1" applyAlignment="1">
      <alignment horizontal="center" vertical="center" wrapText="1"/>
    </xf>
    <xf numFmtId="0" fontId="0" fillId="4" borderId="0" xfId="0" applyFill="1"/>
    <xf numFmtId="164" fontId="3" fillId="0" borderId="20" xfId="0" applyNumberFormat="1" applyFont="1" applyBorder="1" applyAlignment="1">
      <alignment horizontal="center" vertical="center"/>
    </xf>
    <xf numFmtId="165" fontId="6" fillId="4" borderId="1" xfId="1" applyFont="1" applyFill="1" applyBorder="1" applyAlignment="1">
      <alignment wrapText="1"/>
    </xf>
    <xf numFmtId="165" fontId="6" fillId="4" borderId="18" xfId="1" applyFont="1" applyFill="1" applyBorder="1"/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8" fillId="0" borderId="1" xfId="1" applyFont="1" applyFill="1" applyBorder="1" applyAlignment="1">
      <alignment horizontal="center" vertical="center" wrapText="1"/>
    </xf>
    <xf numFmtId="165" fontId="9" fillId="0" borderId="1" xfId="1" applyFont="1" applyFill="1" applyBorder="1" applyAlignment="1">
      <alignment horizontal="center" vertical="center" wrapText="1"/>
    </xf>
    <xf numFmtId="165" fontId="9" fillId="0" borderId="5" xfId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8" fillId="0" borderId="20" xfId="1" applyFont="1" applyFill="1" applyBorder="1" applyAlignment="1">
      <alignment horizontal="center" vertical="center" wrapText="1"/>
    </xf>
    <xf numFmtId="165" fontId="8" fillId="0" borderId="20" xfId="1" applyFont="1" applyFill="1" applyBorder="1" applyAlignment="1">
      <alignment horizontal="center" vertical="center"/>
    </xf>
    <xf numFmtId="165" fontId="8" fillId="0" borderId="20" xfId="1" applyFont="1" applyFill="1" applyBorder="1" applyAlignment="1">
      <alignment wrapText="1"/>
    </xf>
    <xf numFmtId="165" fontId="8" fillId="0" borderId="18" xfId="1" applyFont="1" applyFill="1" applyBorder="1"/>
    <xf numFmtId="165" fontId="8" fillId="0" borderId="1" xfId="1" applyFont="1" applyFill="1" applyBorder="1" applyAlignment="1">
      <alignment horizontal="center" vertical="center"/>
    </xf>
    <xf numFmtId="165" fontId="8" fillId="0" borderId="1" xfId="1" applyFont="1" applyFill="1" applyBorder="1" applyAlignment="1">
      <alignment wrapText="1"/>
    </xf>
    <xf numFmtId="165" fontId="8" fillId="0" borderId="12" xfId="1" applyFont="1" applyFill="1" applyBorder="1" applyAlignment="1">
      <alignment horizontal="center" vertical="center" wrapText="1"/>
    </xf>
    <xf numFmtId="165" fontId="8" fillId="0" borderId="12" xfId="1" applyFont="1" applyFill="1" applyBorder="1" applyAlignment="1">
      <alignment horizontal="center" vertical="center"/>
    </xf>
    <xf numFmtId="165" fontId="8" fillId="0" borderId="17" xfId="1" applyFont="1" applyFill="1" applyBorder="1" applyAlignment="1">
      <alignment horizontal="center" vertical="center"/>
    </xf>
    <xf numFmtId="165" fontId="8" fillId="0" borderId="12" xfId="1" applyFont="1" applyFill="1" applyBorder="1" applyAlignment="1">
      <alignment wrapText="1"/>
    </xf>
    <xf numFmtId="165" fontId="8" fillId="0" borderId="25" xfId="1" applyFont="1" applyFill="1" applyBorder="1" applyAlignment="1">
      <alignment horizontal="center" vertical="center" wrapText="1"/>
    </xf>
    <xf numFmtId="165" fontId="8" fillId="0" borderId="25" xfId="1" applyFont="1" applyFill="1" applyBorder="1" applyAlignment="1">
      <alignment horizontal="center" vertical="center"/>
    </xf>
    <xf numFmtId="165" fontId="8" fillId="0" borderId="25" xfId="1" applyFont="1" applyFill="1" applyBorder="1" applyAlignment="1">
      <alignment wrapText="1"/>
    </xf>
    <xf numFmtId="165" fontId="8" fillId="0" borderId="21" xfId="1" applyFont="1" applyFill="1" applyBorder="1" applyAlignment="1">
      <alignment horizontal="center" vertical="center" wrapText="1"/>
    </xf>
    <xf numFmtId="165" fontId="8" fillId="0" borderId="21" xfId="1" applyFont="1" applyFill="1" applyBorder="1" applyAlignment="1">
      <alignment horizontal="center" vertical="center"/>
    </xf>
    <xf numFmtId="165" fontId="8" fillId="0" borderId="21" xfId="1" applyFont="1" applyFill="1" applyBorder="1" applyAlignment="1">
      <alignment wrapText="1"/>
    </xf>
    <xf numFmtId="165" fontId="9" fillId="0" borderId="21" xfId="1" applyFont="1" applyFill="1" applyBorder="1"/>
    <xf numFmtId="166" fontId="6" fillId="0" borderId="2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20" xfId="1" applyFont="1" applyFill="1" applyBorder="1" applyAlignment="1">
      <alignment horizontal="center" vertical="center" wrapText="1"/>
    </xf>
    <xf numFmtId="165" fontId="6" fillId="0" borderId="20" xfId="1" applyFont="1" applyFill="1" applyBorder="1" applyAlignment="1">
      <alignment horizontal="center" vertical="center"/>
    </xf>
    <xf numFmtId="165" fontId="6" fillId="0" borderId="20" xfId="1" applyFont="1" applyFill="1" applyBorder="1" applyAlignment="1">
      <alignment wrapText="1"/>
    </xf>
    <xf numFmtId="165" fontId="6" fillId="0" borderId="18" xfId="1" applyFont="1" applyFill="1" applyBorder="1"/>
    <xf numFmtId="165" fontId="3" fillId="0" borderId="8" xfId="1" applyFont="1" applyBorder="1" applyAlignment="1">
      <alignment horizontal="center" vertical="center"/>
    </xf>
    <xf numFmtId="165" fontId="3" fillId="0" borderId="23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5" fontId="6" fillId="0" borderId="39" xfId="1" applyFont="1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165" fontId="6" fillId="0" borderId="1" xfId="1" applyFont="1" applyFill="1" applyBorder="1" applyAlignment="1">
      <alignment wrapText="1"/>
    </xf>
    <xf numFmtId="165" fontId="6" fillId="0" borderId="12" xfId="1" applyFont="1" applyFill="1" applyBorder="1" applyAlignment="1">
      <alignment horizontal="center" vertical="center" wrapText="1"/>
    </xf>
    <xf numFmtId="165" fontId="6" fillId="0" borderId="12" xfId="1" applyFont="1" applyFill="1" applyBorder="1" applyAlignment="1">
      <alignment wrapText="1"/>
    </xf>
    <xf numFmtId="165" fontId="6" fillId="0" borderId="35" xfId="1" applyFont="1" applyFill="1" applyBorder="1" applyAlignment="1">
      <alignment horizontal="center" vertical="center" wrapText="1"/>
    </xf>
    <xf numFmtId="165" fontId="6" fillId="0" borderId="35" xfId="1" applyFont="1" applyFill="1" applyBorder="1" applyAlignment="1">
      <alignment horizontal="center" vertical="center"/>
    </xf>
    <xf numFmtId="165" fontId="6" fillId="0" borderId="35" xfId="1" applyFont="1" applyFill="1" applyBorder="1" applyAlignment="1">
      <alignment wrapText="1"/>
    </xf>
    <xf numFmtId="165" fontId="7" fillId="0" borderId="35" xfId="1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0" fillId="4" borderId="20" xfId="1" applyFont="1" applyFill="1" applyBorder="1" applyAlignment="1">
      <alignment horizontal="center" vertical="center"/>
    </xf>
    <xf numFmtId="165" fontId="10" fillId="0" borderId="1" xfId="1" applyFont="1" applyBorder="1" applyAlignment="1">
      <alignment wrapText="1"/>
    </xf>
    <xf numFmtId="165" fontId="10" fillId="0" borderId="18" xfId="1" applyFont="1" applyBorder="1"/>
    <xf numFmtId="0" fontId="10" fillId="0" borderId="0" xfId="0" applyFont="1"/>
    <xf numFmtId="0" fontId="11" fillId="0" borderId="20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5" fontId="12" fillId="0" borderId="1" xfId="1" applyFont="1" applyFill="1" applyBorder="1" applyAlignment="1">
      <alignment horizontal="center" vertical="center" wrapText="1"/>
    </xf>
    <xf numFmtId="14" fontId="12" fillId="0" borderId="20" xfId="0" applyNumberFormat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2" fillId="0" borderId="20" xfId="1" applyFont="1" applyBorder="1" applyAlignment="1">
      <alignment horizontal="center" vertical="center"/>
    </xf>
    <xf numFmtId="165" fontId="12" fillId="0" borderId="1" xfId="1" applyFont="1" applyBorder="1" applyAlignment="1">
      <alignment wrapText="1"/>
    </xf>
    <xf numFmtId="165" fontId="12" fillId="0" borderId="18" xfId="1" applyFont="1" applyBorder="1"/>
    <xf numFmtId="0" fontId="13" fillId="0" borderId="0" xfId="0" applyFont="1"/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5" fontId="3" fillId="0" borderId="17" xfId="1" applyFont="1" applyBorder="1" applyAlignment="1">
      <alignment horizontal="center" vertical="center"/>
    </xf>
    <xf numFmtId="165" fontId="3" fillId="0" borderId="8" xfId="1" applyFont="1" applyBorder="1" applyAlignment="1">
      <alignment horizontal="center" vertical="center"/>
    </xf>
    <xf numFmtId="165" fontId="3" fillId="0" borderId="23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5" fontId="6" fillId="0" borderId="17" xfId="1" applyFont="1" applyBorder="1" applyAlignment="1">
      <alignment horizontal="center" vertical="center"/>
    </xf>
    <xf numFmtId="165" fontId="6" fillId="0" borderId="8" xfId="1" applyFont="1" applyBorder="1" applyAlignment="1">
      <alignment horizontal="center" vertical="center"/>
    </xf>
    <xf numFmtId="165" fontId="6" fillId="0" borderId="2" xfId="1" applyFont="1" applyBorder="1" applyAlignment="1">
      <alignment horizontal="center" vertical="center"/>
    </xf>
    <xf numFmtId="165" fontId="6" fillId="0" borderId="17" xfId="1" applyFont="1" applyFill="1" applyBorder="1" applyAlignment="1">
      <alignment horizontal="center" vertical="center"/>
    </xf>
    <xf numFmtId="165" fontId="6" fillId="0" borderId="8" xfId="1" applyFont="1" applyFill="1" applyBorder="1" applyAlignment="1">
      <alignment horizontal="center" vertical="center"/>
    </xf>
    <xf numFmtId="165" fontId="6" fillId="0" borderId="2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7" xfId="1" applyFont="1" applyBorder="1" applyAlignment="1">
      <alignment horizontal="center" vertical="center"/>
    </xf>
    <xf numFmtId="165" fontId="6" fillId="0" borderId="0" xfId="1" applyFont="1" applyBorder="1" applyAlignment="1">
      <alignment horizontal="center" vertical="center"/>
    </xf>
    <xf numFmtId="165" fontId="6" fillId="0" borderId="26" xfId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165" fontId="6" fillId="4" borderId="17" xfId="1" applyFont="1" applyFill="1" applyBorder="1" applyAlignment="1">
      <alignment horizontal="center" vertical="center"/>
    </xf>
    <xf numFmtId="165" fontId="6" fillId="4" borderId="8" xfId="1" applyFont="1" applyFill="1" applyBorder="1" applyAlignment="1">
      <alignment horizontal="center" vertical="center"/>
    </xf>
    <xf numFmtId="165" fontId="6" fillId="4" borderId="2" xfId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989C-2423-4578-891C-EA37B63A2F38}">
  <sheetPr>
    <pageSetUpPr fitToPage="1"/>
  </sheetPr>
  <dimension ref="A1:O594"/>
  <sheetViews>
    <sheetView rightToLeft="1" tabSelected="1" view="pageBreakPreview" topLeftCell="A550" zoomScale="43" zoomScaleNormal="40" zoomScaleSheetLayoutView="55" workbookViewId="0">
      <pane xSplit="1" topLeftCell="B1" activePane="topRight" state="frozen"/>
      <selection pane="topRight" activeCell="L596" sqref="L596"/>
    </sheetView>
  </sheetViews>
  <sheetFormatPr defaultColWidth="9.09765625" defaultRowHeight="60" customHeight="1" x14ac:dyDescent="0.3"/>
  <cols>
    <col min="1" max="1" width="4.09765625" style="1" customWidth="1"/>
    <col min="2" max="2" width="28.69921875" style="1" customWidth="1"/>
    <col min="3" max="3" width="18" style="1" bestFit="1" customWidth="1"/>
    <col min="4" max="4" width="37.296875" style="1" bestFit="1" customWidth="1"/>
    <col min="5" max="5" width="28.3984375" style="2" customWidth="1"/>
    <col min="6" max="6" width="35.59765625" style="2" customWidth="1"/>
    <col min="7" max="7" width="28.3984375" style="2" customWidth="1"/>
    <col min="8" max="8" width="35.59765625" style="2" customWidth="1"/>
    <col min="9" max="9" width="27.69921875" style="1" customWidth="1"/>
    <col min="10" max="10" width="13.59765625" style="1" customWidth="1"/>
    <col min="11" max="11" width="17.69921875" style="1" customWidth="1"/>
    <col min="12" max="12" width="32.3984375" style="1" bestFit="1" customWidth="1"/>
    <col min="13" max="13" width="34" style="3" customWidth="1"/>
    <col min="14" max="14" width="24.8984375" style="4" bestFit="1" customWidth="1"/>
    <col min="15" max="15" width="32.3984375" style="5" bestFit="1" customWidth="1"/>
    <col min="16" max="16384" width="9.09765625" style="6"/>
  </cols>
  <sheetData>
    <row r="1" spans="1:15" ht="60" customHeight="1" thickBot="1" x14ac:dyDescent="0.35">
      <c r="A1" s="8" t="s">
        <v>3</v>
      </c>
      <c r="B1" s="9" t="s">
        <v>0</v>
      </c>
      <c r="C1" s="11" t="s">
        <v>1</v>
      </c>
      <c r="D1" s="32" t="s">
        <v>34</v>
      </c>
      <c r="E1" s="11" t="s">
        <v>198</v>
      </c>
      <c r="F1" s="12" t="s">
        <v>199</v>
      </c>
      <c r="G1" s="11" t="s">
        <v>197</v>
      </c>
      <c r="H1" s="12" t="s">
        <v>184</v>
      </c>
      <c r="I1" s="67" t="s">
        <v>2</v>
      </c>
      <c r="J1" s="10" t="s">
        <v>39</v>
      </c>
      <c r="K1" s="11" t="s">
        <v>40</v>
      </c>
      <c r="L1" s="13" t="s">
        <v>14</v>
      </c>
      <c r="M1" s="14" t="s">
        <v>15</v>
      </c>
      <c r="N1" s="65" t="s">
        <v>11</v>
      </c>
      <c r="O1" s="16" t="s">
        <v>76</v>
      </c>
    </row>
    <row r="2" spans="1:15" ht="60" customHeight="1" thickBot="1" x14ac:dyDescent="0.55000000000000004">
      <c r="A2" s="17">
        <v>1</v>
      </c>
      <c r="B2" s="354" t="s">
        <v>41</v>
      </c>
      <c r="C2" s="357">
        <v>101</v>
      </c>
      <c r="D2" s="52" t="s">
        <v>35</v>
      </c>
      <c r="E2" s="262">
        <v>1732.34</v>
      </c>
      <c r="F2" s="286">
        <v>46163</v>
      </c>
      <c r="G2" s="262">
        <v>1818.82</v>
      </c>
      <c r="H2" s="286">
        <v>46197</v>
      </c>
      <c r="I2" s="68">
        <f>G2-E2</f>
        <v>86.480000000000018</v>
      </c>
      <c r="J2" s="34"/>
      <c r="K2" s="34">
        <v>257</v>
      </c>
      <c r="L2" s="360">
        <v>-330.38</v>
      </c>
      <c r="M2" s="36">
        <f t="shared" ref="M2:M7" si="0">I2*K2+J2</f>
        <v>22225.360000000004</v>
      </c>
      <c r="N2" s="37"/>
      <c r="O2" s="38">
        <f>M2-N2</f>
        <v>22225.360000000004</v>
      </c>
    </row>
    <row r="3" spans="1:15" ht="60" customHeight="1" thickBot="1" x14ac:dyDescent="0.55000000000000004">
      <c r="A3" s="17"/>
      <c r="B3" s="355"/>
      <c r="C3" s="358"/>
      <c r="D3" s="21" t="s">
        <v>36</v>
      </c>
      <c r="E3" s="261">
        <v>302</v>
      </c>
      <c r="F3" s="286">
        <v>46163</v>
      </c>
      <c r="G3" s="261">
        <v>312</v>
      </c>
      <c r="H3" s="286">
        <v>46197</v>
      </c>
      <c r="I3" s="34">
        <f>G3-E3</f>
        <v>10</v>
      </c>
      <c r="J3" s="34">
        <v>1000</v>
      </c>
      <c r="K3" s="20">
        <v>1200</v>
      </c>
      <c r="L3" s="361"/>
      <c r="M3" s="36">
        <f t="shared" si="0"/>
        <v>13000</v>
      </c>
      <c r="N3" s="19"/>
      <c r="O3" s="38">
        <f>L3+M3-N3</f>
        <v>13000</v>
      </c>
    </row>
    <row r="4" spans="1:15" ht="60" customHeight="1" thickBot="1" x14ac:dyDescent="0.55000000000000004">
      <c r="A4" s="17"/>
      <c r="B4" s="355"/>
      <c r="C4" s="358"/>
      <c r="D4" s="53" t="s">
        <v>37</v>
      </c>
      <c r="E4" s="40">
        <v>0</v>
      </c>
      <c r="F4" s="286">
        <v>46163</v>
      </c>
      <c r="G4" s="40">
        <v>0</v>
      </c>
      <c r="H4" s="286">
        <v>46197</v>
      </c>
      <c r="I4" s="39">
        <v>1</v>
      </c>
      <c r="J4" s="39"/>
      <c r="K4" s="39">
        <v>25000</v>
      </c>
      <c r="L4" s="361"/>
      <c r="M4" s="36">
        <f t="shared" si="0"/>
        <v>25000</v>
      </c>
      <c r="N4" s="23"/>
      <c r="O4" s="38">
        <f>L4+M4-N4</f>
        <v>25000</v>
      </c>
    </row>
    <row r="5" spans="1:15" ht="60" customHeight="1" thickBot="1" x14ac:dyDescent="0.55000000000000004">
      <c r="A5" s="17"/>
      <c r="B5" s="355"/>
      <c r="C5" s="358"/>
      <c r="D5" s="59" t="s">
        <v>42</v>
      </c>
      <c r="E5" s="56"/>
      <c r="F5" s="286"/>
      <c r="G5" s="56"/>
      <c r="H5" s="286"/>
      <c r="I5" s="55">
        <v>0</v>
      </c>
      <c r="J5" s="55"/>
      <c r="K5" s="55"/>
      <c r="L5" s="361"/>
      <c r="M5" s="36">
        <f t="shared" si="0"/>
        <v>0</v>
      </c>
      <c r="N5" s="58"/>
      <c r="O5" s="38">
        <f>L5+M5-N5</f>
        <v>0</v>
      </c>
    </row>
    <row r="6" spans="1:15" ht="60" customHeight="1" thickBot="1" x14ac:dyDescent="0.55000000000000004">
      <c r="A6" s="17"/>
      <c r="B6" s="355"/>
      <c r="C6" s="358"/>
      <c r="D6" s="52" t="s">
        <v>85</v>
      </c>
      <c r="E6" s="35"/>
      <c r="F6" s="286"/>
      <c r="G6" s="35"/>
      <c r="H6" s="286"/>
      <c r="I6" s="55">
        <v>1</v>
      </c>
      <c r="J6" s="34"/>
      <c r="K6" s="34">
        <v>2000</v>
      </c>
      <c r="L6" s="361"/>
      <c r="M6" s="36">
        <f t="shared" si="0"/>
        <v>2000</v>
      </c>
      <c r="N6" s="37"/>
      <c r="O6" s="38">
        <f>L6+M6-N6</f>
        <v>2000</v>
      </c>
    </row>
    <row r="7" spans="1:15" ht="60" customHeight="1" thickBot="1" x14ac:dyDescent="0.55000000000000004">
      <c r="A7" s="17"/>
      <c r="B7" s="355"/>
      <c r="C7" s="358"/>
      <c r="D7" s="59" t="s">
        <v>14</v>
      </c>
      <c r="E7" s="56"/>
      <c r="F7" s="286"/>
      <c r="G7" s="56"/>
      <c r="H7" s="286"/>
      <c r="I7" s="55"/>
      <c r="J7" s="55"/>
      <c r="K7" s="55"/>
      <c r="L7" s="361"/>
      <c r="M7" s="36">
        <f t="shared" si="0"/>
        <v>0</v>
      </c>
      <c r="N7" s="58"/>
      <c r="O7" s="38">
        <f>L2</f>
        <v>-330.38</v>
      </c>
    </row>
    <row r="8" spans="1:15" ht="37.5" customHeight="1" thickBot="1" x14ac:dyDescent="0.55000000000000004">
      <c r="A8" s="17"/>
      <c r="B8" s="356"/>
      <c r="C8" s="359"/>
      <c r="D8" s="41" t="s">
        <v>38</v>
      </c>
      <c r="E8" s="42"/>
      <c r="F8" s="286"/>
      <c r="G8" s="42"/>
      <c r="H8" s="286"/>
      <c r="J8" s="43"/>
      <c r="K8" s="43"/>
      <c r="L8" s="157"/>
      <c r="M8" s="44"/>
      <c r="N8" s="45"/>
      <c r="O8" s="46">
        <f>SUM(O2:O7)</f>
        <v>61894.98</v>
      </c>
    </row>
    <row r="9" spans="1:15" ht="37.5" customHeight="1" thickBot="1" x14ac:dyDescent="0.55000000000000004">
      <c r="A9" s="22"/>
      <c r="B9" s="276"/>
      <c r="C9" s="278"/>
      <c r="D9" s="60"/>
      <c r="E9" s="61"/>
      <c r="F9" s="286"/>
      <c r="G9" s="61"/>
      <c r="H9" s="286"/>
      <c r="J9" s="60"/>
      <c r="K9" s="60"/>
      <c r="L9" s="157"/>
      <c r="M9" s="62"/>
      <c r="N9" s="63"/>
      <c r="O9" s="64"/>
    </row>
    <row r="10" spans="1:15" ht="60" customHeight="1" thickBot="1" x14ac:dyDescent="0.35">
      <c r="A10" s="8" t="s">
        <v>3</v>
      </c>
      <c r="B10" s="9" t="s">
        <v>0</v>
      </c>
      <c r="C10" s="11" t="s">
        <v>1</v>
      </c>
      <c r="D10" s="32" t="s">
        <v>34</v>
      </c>
      <c r="E10" s="11" t="s">
        <v>198</v>
      </c>
      <c r="F10" s="286" t="s">
        <v>199</v>
      </c>
      <c r="G10" s="11" t="s">
        <v>197</v>
      </c>
      <c r="H10" s="286" t="s">
        <v>184</v>
      </c>
      <c r="I10" s="10" t="s">
        <v>2</v>
      </c>
      <c r="J10" s="10" t="s">
        <v>39</v>
      </c>
      <c r="K10" s="11" t="s">
        <v>40</v>
      </c>
      <c r="L10" s="13" t="s">
        <v>14</v>
      </c>
      <c r="M10" s="14" t="s">
        <v>15</v>
      </c>
      <c r="N10" s="15" t="s">
        <v>11</v>
      </c>
      <c r="O10" s="16" t="s">
        <v>76</v>
      </c>
    </row>
    <row r="11" spans="1:15" ht="60" customHeight="1" thickBot="1" x14ac:dyDescent="0.55000000000000004">
      <c r="A11" s="17">
        <v>1</v>
      </c>
      <c r="B11" s="354" t="s">
        <v>41</v>
      </c>
      <c r="C11" s="357">
        <v>102</v>
      </c>
      <c r="D11" s="52" t="s">
        <v>35</v>
      </c>
      <c r="E11" s="262">
        <v>5900.76</v>
      </c>
      <c r="F11" s="286">
        <v>46163</v>
      </c>
      <c r="G11" s="262">
        <v>6017.08</v>
      </c>
      <c r="H11" s="286">
        <v>46197</v>
      </c>
      <c r="I11" s="271">
        <f>G11-E11</f>
        <v>116.31999999999971</v>
      </c>
      <c r="J11" s="34"/>
      <c r="K11" s="34">
        <v>257</v>
      </c>
      <c r="L11" s="360">
        <v>195117.51</v>
      </c>
      <c r="M11" s="36">
        <f t="shared" ref="M11:M16" si="1">I11*K11+J11</f>
        <v>29894.239999999925</v>
      </c>
      <c r="N11" s="37"/>
      <c r="O11" s="38">
        <f>M11-N11</f>
        <v>29894.239999999925</v>
      </c>
    </row>
    <row r="12" spans="1:15" ht="60" customHeight="1" thickBot="1" x14ac:dyDescent="0.55000000000000004">
      <c r="A12" s="17"/>
      <c r="B12" s="355"/>
      <c r="C12" s="358"/>
      <c r="D12" s="21" t="s">
        <v>36</v>
      </c>
      <c r="E12" s="261">
        <v>640</v>
      </c>
      <c r="F12" s="286">
        <v>46163</v>
      </c>
      <c r="G12" s="261">
        <v>653</v>
      </c>
      <c r="H12" s="286">
        <v>46197</v>
      </c>
      <c r="I12" s="34">
        <f>G12-E12</f>
        <v>13</v>
      </c>
      <c r="J12" s="34">
        <v>1000</v>
      </c>
      <c r="K12" s="20">
        <v>1200</v>
      </c>
      <c r="L12" s="361"/>
      <c r="M12" s="36">
        <f t="shared" si="1"/>
        <v>16600</v>
      </c>
      <c r="N12" s="19"/>
      <c r="O12" s="38">
        <f>L12+M12-N12</f>
        <v>16600</v>
      </c>
    </row>
    <row r="13" spans="1:15" ht="60" customHeight="1" thickBot="1" x14ac:dyDescent="0.55000000000000004">
      <c r="A13" s="17"/>
      <c r="B13" s="355"/>
      <c r="C13" s="358"/>
      <c r="D13" s="53" t="s">
        <v>37</v>
      </c>
      <c r="E13" s="40">
        <v>0</v>
      </c>
      <c r="F13" s="286">
        <v>46163</v>
      </c>
      <c r="G13" s="40">
        <v>0</v>
      </c>
      <c r="H13" s="286">
        <v>46197</v>
      </c>
      <c r="I13" s="39">
        <v>0</v>
      </c>
      <c r="J13" s="39"/>
      <c r="K13" s="39">
        <v>25000</v>
      </c>
      <c r="L13" s="361"/>
      <c r="M13" s="36">
        <f t="shared" si="1"/>
        <v>0</v>
      </c>
      <c r="N13" s="23"/>
      <c r="O13" s="38">
        <f>L13+M13-N13</f>
        <v>0</v>
      </c>
    </row>
    <row r="14" spans="1:15" ht="60" customHeight="1" thickBot="1" x14ac:dyDescent="0.55000000000000004">
      <c r="A14" s="17"/>
      <c r="B14" s="355"/>
      <c r="C14" s="358"/>
      <c r="D14" s="59" t="s">
        <v>42</v>
      </c>
      <c r="E14" s="56"/>
      <c r="F14" s="286"/>
      <c r="G14" s="56"/>
      <c r="H14" s="286"/>
      <c r="I14" s="55"/>
      <c r="J14" s="55"/>
      <c r="K14" s="55">
        <v>0</v>
      </c>
      <c r="L14" s="361"/>
      <c r="M14" s="36">
        <f t="shared" si="1"/>
        <v>0</v>
      </c>
      <c r="N14" s="58"/>
      <c r="O14" s="38">
        <f>L14+M14-N14</f>
        <v>0</v>
      </c>
    </row>
    <row r="15" spans="1:15" ht="60" customHeight="1" thickBot="1" x14ac:dyDescent="0.55000000000000004">
      <c r="A15" s="17"/>
      <c r="B15" s="355"/>
      <c r="C15" s="358"/>
      <c r="D15" s="52" t="s">
        <v>85</v>
      </c>
      <c r="E15" s="35"/>
      <c r="F15" s="286"/>
      <c r="G15" s="35"/>
      <c r="H15" s="286"/>
      <c r="I15" s="55">
        <v>1</v>
      </c>
      <c r="J15" s="34"/>
      <c r="K15" s="34">
        <v>2000</v>
      </c>
      <c r="L15" s="361"/>
      <c r="M15" s="36">
        <f t="shared" si="1"/>
        <v>2000</v>
      </c>
      <c r="N15" s="37"/>
      <c r="O15" s="38">
        <f>L15+M15-N15</f>
        <v>2000</v>
      </c>
    </row>
    <row r="16" spans="1:15" ht="60" customHeight="1" thickBot="1" x14ac:dyDescent="0.55000000000000004">
      <c r="A16" s="17"/>
      <c r="B16" s="355"/>
      <c r="C16" s="358"/>
      <c r="D16" s="59" t="s">
        <v>14</v>
      </c>
      <c r="E16" s="56"/>
      <c r="F16" s="286"/>
      <c r="G16" s="56"/>
      <c r="H16" s="286"/>
      <c r="I16" s="55"/>
      <c r="J16" s="55"/>
      <c r="K16" s="55"/>
      <c r="L16" s="362"/>
      <c r="M16" s="36">
        <f t="shared" si="1"/>
        <v>0</v>
      </c>
      <c r="N16" s="58"/>
      <c r="O16" s="38">
        <f>L11</f>
        <v>195117.51</v>
      </c>
    </row>
    <row r="17" spans="1:15" ht="60" customHeight="1" thickBot="1" x14ac:dyDescent="0.55000000000000004">
      <c r="A17" s="17"/>
      <c r="B17" s="356"/>
      <c r="C17" s="359"/>
      <c r="D17" s="41" t="s">
        <v>38</v>
      </c>
      <c r="E17" s="42"/>
      <c r="F17" s="286"/>
      <c r="G17" s="42"/>
      <c r="H17" s="286"/>
      <c r="I17" s="43"/>
      <c r="J17" s="43"/>
      <c r="K17" s="43"/>
      <c r="L17" s="44"/>
      <c r="M17" s="44"/>
      <c r="N17" s="45"/>
      <c r="O17" s="46">
        <f>SUM(O11:O16)</f>
        <v>243611.74999999994</v>
      </c>
    </row>
    <row r="18" spans="1:15" ht="26.25" customHeight="1" thickBot="1" x14ac:dyDescent="0.55000000000000004">
      <c r="A18" s="22"/>
      <c r="B18" s="276"/>
      <c r="C18" s="278"/>
      <c r="D18" s="60"/>
      <c r="E18" s="61"/>
      <c r="F18" s="286"/>
      <c r="G18" s="61"/>
      <c r="H18" s="286"/>
      <c r="I18" s="60"/>
      <c r="J18" s="60"/>
      <c r="K18" s="60"/>
      <c r="L18" s="62"/>
      <c r="M18" s="62"/>
      <c r="N18" s="63"/>
      <c r="O18" s="64"/>
    </row>
    <row r="19" spans="1:15" ht="60" customHeight="1" thickBot="1" x14ac:dyDescent="0.35">
      <c r="A19" s="8" t="s">
        <v>3</v>
      </c>
      <c r="B19" s="9" t="s">
        <v>0</v>
      </c>
      <c r="C19" s="11" t="s">
        <v>1</v>
      </c>
      <c r="D19" s="32" t="s">
        <v>34</v>
      </c>
      <c r="E19" s="11" t="s">
        <v>198</v>
      </c>
      <c r="F19" s="286" t="s">
        <v>199</v>
      </c>
      <c r="G19" s="11" t="s">
        <v>197</v>
      </c>
      <c r="H19" s="286" t="s">
        <v>184</v>
      </c>
      <c r="I19" s="10" t="s">
        <v>2</v>
      </c>
      <c r="J19" s="10" t="s">
        <v>39</v>
      </c>
      <c r="K19" s="11" t="s">
        <v>40</v>
      </c>
      <c r="L19" s="13" t="s">
        <v>14</v>
      </c>
      <c r="M19" s="14" t="s">
        <v>15</v>
      </c>
      <c r="N19" s="15" t="s">
        <v>11</v>
      </c>
      <c r="O19" s="16" t="s">
        <v>76</v>
      </c>
    </row>
    <row r="20" spans="1:15" ht="60" customHeight="1" thickBot="1" x14ac:dyDescent="0.55000000000000004">
      <c r="A20" s="17">
        <v>1</v>
      </c>
      <c r="B20" s="354" t="s">
        <v>43</v>
      </c>
      <c r="C20" s="357">
        <v>103</v>
      </c>
      <c r="D20" s="52" t="s">
        <v>35</v>
      </c>
      <c r="E20" s="262">
        <v>7466.54</v>
      </c>
      <c r="F20" s="286">
        <v>46163</v>
      </c>
      <c r="G20" s="262">
        <v>7466.81</v>
      </c>
      <c r="H20" s="286">
        <v>46197</v>
      </c>
      <c r="I20" s="34">
        <f>G20-E20</f>
        <v>0.27000000000043656</v>
      </c>
      <c r="J20" s="34">
        <v>0</v>
      </c>
      <c r="K20" s="34">
        <v>257</v>
      </c>
      <c r="L20" s="360">
        <v>309155.40000000002</v>
      </c>
      <c r="M20" s="36">
        <f t="shared" ref="M20:M25" si="2">I20*K20+J20</f>
        <v>69.390000000112195</v>
      </c>
      <c r="N20" s="37"/>
      <c r="O20" s="38">
        <f>M20-N20</f>
        <v>69.390000000112195</v>
      </c>
    </row>
    <row r="21" spans="1:15" ht="44.25" customHeight="1" thickBot="1" x14ac:dyDescent="0.55000000000000004">
      <c r="A21" s="17"/>
      <c r="B21" s="355"/>
      <c r="C21" s="358"/>
      <c r="D21" s="21" t="s">
        <v>36</v>
      </c>
      <c r="E21" s="261">
        <v>727</v>
      </c>
      <c r="F21" s="286">
        <v>46163</v>
      </c>
      <c r="G21" s="261">
        <v>727</v>
      </c>
      <c r="H21" s="286">
        <v>46197</v>
      </c>
      <c r="I21" s="34">
        <f>G21-E21</f>
        <v>0</v>
      </c>
      <c r="J21" s="34">
        <v>0</v>
      </c>
      <c r="K21" s="20">
        <v>1200</v>
      </c>
      <c r="L21" s="361"/>
      <c r="M21" s="36">
        <f t="shared" si="2"/>
        <v>0</v>
      </c>
      <c r="N21" s="19"/>
      <c r="O21" s="38">
        <f>L21+M21-N21</f>
        <v>0</v>
      </c>
    </row>
    <row r="22" spans="1:15" ht="60" customHeight="1" thickBot="1" x14ac:dyDescent="0.55000000000000004">
      <c r="A22" s="17"/>
      <c r="B22" s="355"/>
      <c r="C22" s="358"/>
      <c r="D22" s="53" t="s">
        <v>37</v>
      </c>
      <c r="E22" s="40">
        <v>0</v>
      </c>
      <c r="F22" s="286">
        <v>46163</v>
      </c>
      <c r="G22" s="40">
        <v>0</v>
      </c>
      <c r="H22" s="286">
        <v>46197</v>
      </c>
      <c r="I22" s="39">
        <v>1</v>
      </c>
      <c r="J22" s="39"/>
      <c r="K22" s="39">
        <v>15000</v>
      </c>
      <c r="L22" s="361"/>
      <c r="M22" s="36">
        <f t="shared" si="2"/>
        <v>15000</v>
      </c>
      <c r="N22" s="23"/>
      <c r="O22" s="38">
        <f>L22+M22-N22</f>
        <v>15000</v>
      </c>
    </row>
    <row r="23" spans="1:15" ht="60" customHeight="1" thickBot="1" x14ac:dyDescent="0.55000000000000004">
      <c r="A23" s="17"/>
      <c r="B23" s="355"/>
      <c r="C23" s="358"/>
      <c r="D23" s="59" t="s">
        <v>42</v>
      </c>
      <c r="E23" s="56"/>
      <c r="F23" s="286"/>
      <c r="G23" s="56"/>
      <c r="H23" s="286"/>
      <c r="I23" s="55"/>
      <c r="J23" s="55"/>
      <c r="K23" s="55">
        <v>0</v>
      </c>
      <c r="L23" s="361"/>
      <c r="M23" s="36">
        <f t="shared" si="2"/>
        <v>0</v>
      </c>
      <c r="N23" s="58"/>
      <c r="O23" s="38">
        <f>L23+M23-N23</f>
        <v>0</v>
      </c>
    </row>
    <row r="24" spans="1:15" ht="60" customHeight="1" thickBot="1" x14ac:dyDescent="0.55000000000000004">
      <c r="A24" s="17"/>
      <c r="B24" s="355"/>
      <c r="C24" s="358"/>
      <c r="D24" s="52" t="s">
        <v>85</v>
      </c>
      <c r="E24" s="35"/>
      <c r="F24" s="286"/>
      <c r="G24" s="35"/>
      <c r="H24" s="286"/>
      <c r="I24" s="55">
        <v>0</v>
      </c>
      <c r="J24" s="34"/>
      <c r="K24" s="34">
        <v>2000</v>
      </c>
      <c r="L24" s="361"/>
      <c r="M24" s="36">
        <f t="shared" si="2"/>
        <v>0</v>
      </c>
      <c r="N24" s="37"/>
      <c r="O24" s="38">
        <f>L24+M24-N24</f>
        <v>0</v>
      </c>
    </row>
    <row r="25" spans="1:15" ht="60" customHeight="1" thickBot="1" x14ac:dyDescent="0.55000000000000004">
      <c r="A25" s="17"/>
      <c r="B25" s="355"/>
      <c r="C25" s="358"/>
      <c r="D25" s="59" t="s">
        <v>14</v>
      </c>
      <c r="E25" s="56"/>
      <c r="F25" s="286"/>
      <c r="G25" s="56"/>
      <c r="H25" s="286"/>
      <c r="I25" s="55"/>
      <c r="J25" s="55"/>
      <c r="K25" s="55"/>
      <c r="L25" s="362"/>
      <c r="M25" s="36">
        <f t="shared" si="2"/>
        <v>0</v>
      </c>
      <c r="N25" s="58"/>
      <c r="O25" s="38">
        <f>L20</f>
        <v>309155.40000000002</v>
      </c>
    </row>
    <row r="26" spans="1:15" ht="60" customHeight="1" thickBot="1" x14ac:dyDescent="0.55000000000000004">
      <c r="A26" s="17"/>
      <c r="B26" s="356"/>
      <c r="C26" s="359"/>
      <c r="D26" s="41" t="s">
        <v>38</v>
      </c>
      <c r="E26" s="42"/>
      <c r="F26" s="286"/>
      <c r="G26" s="42"/>
      <c r="H26" s="286"/>
      <c r="I26" s="43"/>
      <c r="J26" s="43"/>
      <c r="K26" s="43"/>
      <c r="L26" s="44"/>
      <c r="M26" s="44"/>
      <c r="N26" s="45"/>
      <c r="O26" s="46">
        <f>SUM(O20:O25)</f>
        <v>324224.79000000015</v>
      </c>
    </row>
    <row r="27" spans="1:15" ht="51" customHeight="1" thickBot="1" x14ac:dyDescent="0.55000000000000004">
      <c r="A27" s="22"/>
      <c r="B27" s="276"/>
      <c r="C27" s="278"/>
      <c r="D27" s="60"/>
      <c r="E27" s="61"/>
      <c r="F27" s="286"/>
      <c r="G27" s="61"/>
      <c r="H27" s="286"/>
      <c r="I27" s="60"/>
      <c r="J27" s="60"/>
      <c r="K27" s="60"/>
      <c r="L27" s="62"/>
      <c r="M27" s="62"/>
      <c r="N27" s="63"/>
      <c r="O27" s="64"/>
    </row>
    <row r="28" spans="1:15" ht="60" customHeight="1" thickBot="1" x14ac:dyDescent="0.35">
      <c r="A28" s="8" t="s">
        <v>3</v>
      </c>
      <c r="B28" s="9" t="s">
        <v>0</v>
      </c>
      <c r="C28" s="11" t="s">
        <v>1</v>
      </c>
      <c r="D28" s="32" t="s">
        <v>34</v>
      </c>
      <c r="E28" s="11" t="s">
        <v>198</v>
      </c>
      <c r="F28" s="286" t="s">
        <v>199</v>
      </c>
      <c r="G28" s="11" t="s">
        <v>197</v>
      </c>
      <c r="H28" s="286" t="s">
        <v>184</v>
      </c>
      <c r="I28" s="10" t="s">
        <v>2</v>
      </c>
      <c r="J28" s="10" t="s">
        <v>39</v>
      </c>
      <c r="K28" s="11" t="s">
        <v>40</v>
      </c>
      <c r="L28" s="13" t="s">
        <v>14</v>
      </c>
      <c r="M28" s="14" t="s">
        <v>15</v>
      </c>
      <c r="N28" s="15" t="s">
        <v>11</v>
      </c>
      <c r="O28" s="16" t="s">
        <v>76</v>
      </c>
    </row>
    <row r="29" spans="1:15" ht="60" customHeight="1" thickBot="1" x14ac:dyDescent="0.55000000000000004">
      <c r="A29" s="17">
        <v>1</v>
      </c>
      <c r="B29" s="363" t="s">
        <v>44</v>
      </c>
      <c r="C29" s="357">
        <v>104</v>
      </c>
      <c r="D29" s="52" t="s">
        <v>35</v>
      </c>
      <c r="E29" s="262">
        <v>9318.44</v>
      </c>
      <c r="F29" s="286">
        <v>46163</v>
      </c>
      <c r="G29" s="262">
        <v>9368.7099999999991</v>
      </c>
      <c r="H29" s="286">
        <v>46197</v>
      </c>
      <c r="I29" s="34">
        <f>G29-E29</f>
        <v>50.269999999998618</v>
      </c>
      <c r="J29" s="34"/>
      <c r="K29" s="34">
        <v>257</v>
      </c>
      <c r="L29" s="360">
        <v>30165.21</v>
      </c>
      <c r="M29" s="36">
        <f t="shared" ref="M29:M34" si="3">I29*K29+J29</f>
        <v>12919.389999999645</v>
      </c>
      <c r="N29" s="37"/>
      <c r="O29" s="38">
        <f>M29-N29</f>
        <v>12919.389999999645</v>
      </c>
    </row>
    <row r="30" spans="1:15" ht="60" customHeight="1" thickBot="1" x14ac:dyDescent="0.55000000000000004">
      <c r="A30" s="17"/>
      <c r="B30" s="364"/>
      <c r="C30" s="358"/>
      <c r="D30" s="21" t="s">
        <v>36</v>
      </c>
      <c r="E30" s="261">
        <v>1304</v>
      </c>
      <c r="F30" s="286">
        <v>46163</v>
      </c>
      <c r="G30" s="261">
        <v>1325</v>
      </c>
      <c r="H30" s="286">
        <v>46197</v>
      </c>
      <c r="I30" s="34">
        <f>G30-E30</f>
        <v>21</v>
      </c>
      <c r="J30" s="34">
        <v>1000</v>
      </c>
      <c r="K30" s="20">
        <v>1200</v>
      </c>
      <c r="L30" s="361"/>
      <c r="M30" s="36">
        <f t="shared" si="3"/>
        <v>26200</v>
      </c>
      <c r="N30" s="19"/>
      <c r="O30" s="38">
        <f>L30+M30-N30</f>
        <v>26200</v>
      </c>
    </row>
    <row r="31" spans="1:15" ht="60" customHeight="1" thickBot="1" x14ac:dyDescent="0.55000000000000004">
      <c r="A31" s="17"/>
      <c r="B31" s="364"/>
      <c r="C31" s="358"/>
      <c r="D31" s="53" t="s">
        <v>37</v>
      </c>
      <c r="E31" s="40">
        <v>0</v>
      </c>
      <c r="F31" s="286">
        <v>46163</v>
      </c>
      <c r="G31" s="40">
        <v>0</v>
      </c>
      <c r="H31" s="286">
        <v>46197</v>
      </c>
      <c r="I31" s="39">
        <v>1</v>
      </c>
      <c r="J31" s="39"/>
      <c r="K31" s="39">
        <v>25000</v>
      </c>
      <c r="L31" s="361"/>
      <c r="M31" s="36">
        <f t="shared" si="3"/>
        <v>25000</v>
      </c>
      <c r="N31" s="23"/>
      <c r="O31" s="38">
        <f>L31+M31-N31</f>
        <v>25000</v>
      </c>
    </row>
    <row r="32" spans="1:15" ht="60" customHeight="1" thickBot="1" x14ac:dyDescent="0.55000000000000004">
      <c r="A32" s="17"/>
      <c r="B32" s="364"/>
      <c r="C32" s="358"/>
      <c r="D32" s="59" t="s">
        <v>42</v>
      </c>
      <c r="E32" s="56"/>
      <c r="F32" s="286"/>
      <c r="G32" s="56"/>
      <c r="H32" s="286"/>
      <c r="I32" s="55"/>
      <c r="J32" s="55"/>
      <c r="K32" s="55">
        <v>0</v>
      </c>
      <c r="L32" s="361"/>
      <c r="M32" s="36">
        <f t="shared" si="3"/>
        <v>0</v>
      </c>
      <c r="N32" s="58"/>
      <c r="O32" s="38">
        <f>L32+M32-N32</f>
        <v>0</v>
      </c>
    </row>
    <row r="33" spans="1:15" ht="60" customHeight="1" thickBot="1" x14ac:dyDescent="0.55000000000000004">
      <c r="A33" s="17"/>
      <c r="B33" s="364"/>
      <c r="C33" s="358"/>
      <c r="D33" s="52" t="s">
        <v>85</v>
      </c>
      <c r="E33" s="35"/>
      <c r="F33" s="286"/>
      <c r="G33" s="35"/>
      <c r="H33" s="286"/>
      <c r="I33" s="55">
        <v>1</v>
      </c>
      <c r="J33" s="34"/>
      <c r="K33" s="34">
        <v>2000</v>
      </c>
      <c r="L33" s="361"/>
      <c r="M33" s="36">
        <f t="shared" si="3"/>
        <v>2000</v>
      </c>
      <c r="N33" s="37"/>
      <c r="O33" s="38">
        <f>L33+M33-N33</f>
        <v>2000</v>
      </c>
    </row>
    <row r="34" spans="1:15" ht="60" customHeight="1" thickBot="1" x14ac:dyDescent="0.55000000000000004">
      <c r="A34" s="17"/>
      <c r="B34" s="364"/>
      <c r="C34" s="358"/>
      <c r="D34" s="59" t="s">
        <v>14</v>
      </c>
      <c r="E34" s="56"/>
      <c r="F34" s="286"/>
      <c r="G34" s="56"/>
      <c r="H34" s="286"/>
      <c r="I34" s="55"/>
      <c r="J34" s="55"/>
      <c r="K34" s="55"/>
      <c r="L34" s="362"/>
      <c r="M34" s="36">
        <f t="shared" si="3"/>
        <v>0</v>
      </c>
      <c r="N34" s="58"/>
      <c r="O34" s="38">
        <f>L29</f>
        <v>30165.21</v>
      </c>
    </row>
    <row r="35" spans="1:15" ht="60" customHeight="1" thickBot="1" x14ac:dyDescent="0.55000000000000004">
      <c r="A35" s="17"/>
      <c r="B35" s="365"/>
      <c r="C35" s="359"/>
      <c r="D35" s="41" t="s">
        <v>38</v>
      </c>
      <c r="E35" s="42"/>
      <c r="F35" s="286"/>
      <c r="G35" s="42"/>
      <c r="H35" s="286"/>
      <c r="I35" s="43"/>
      <c r="J35" s="43"/>
      <c r="K35" s="43"/>
      <c r="L35" s="44"/>
      <c r="M35" s="44"/>
      <c r="N35" s="45"/>
      <c r="O35" s="46">
        <f>SUM(O29:O34)</f>
        <v>96284.599999999627</v>
      </c>
    </row>
    <row r="36" spans="1:15" ht="60" customHeight="1" thickBot="1" x14ac:dyDescent="0.55000000000000004">
      <c r="A36" s="22"/>
      <c r="B36" s="279"/>
      <c r="C36" s="278"/>
      <c r="D36" s="60"/>
      <c r="E36" s="61"/>
      <c r="F36" s="286"/>
      <c r="G36" s="61"/>
      <c r="H36" s="286"/>
      <c r="I36" s="60"/>
      <c r="J36" s="60"/>
      <c r="K36" s="60"/>
      <c r="L36" s="62"/>
      <c r="M36" s="62"/>
      <c r="N36" s="63"/>
      <c r="O36" s="64"/>
    </row>
    <row r="37" spans="1:15" ht="60" customHeight="1" thickBot="1" x14ac:dyDescent="0.35">
      <c r="A37" s="8" t="s">
        <v>3</v>
      </c>
      <c r="B37" s="9" t="s">
        <v>0</v>
      </c>
      <c r="C37" s="11" t="s">
        <v>1</v>
      </c>
      <c r="D37" s="32" t="s">
        <v>34</v>
      </c>
      <c r="E37" s="11" t="s">
        <v>198</v>
      </c>
      <c r="F37" s="286" t="s">
        <v>199</v>
      </c>
      <c r="G37" s="11" t="s">
        <v>197</v>
      </c>
      <c r="H37" s="286" t="s">
        <v>184</v>
      </c>
      <c r="I37" s="10" t="s">
        <v>2</v>
      </c>
      <c r="J37" s="10" t="s">
        <v>39</v>
      </c>
      <c r="K37" s="11" t="s">
        <v>40</v>
      </c>
      <c r="L37" s="13" t="s">
        <v>14</v>
      </c>
      <c r="M37" s="14" t="s">
        <v>15</v>
      </c>
      <c r="N37" s="15" t="s">
        <v>11</v>
      </c>
      <c r="O37" s="16" t="s">
        <v>76</v>
      </c>
    </row>
    <row r="38" spans="1:15" ht="60" customHeight="1" thickBot="1" x14ac:dyDescent="0.55000000000000004">
      <c r="A38" s="17">
        <v>1</v>
      </c>
      <c r="B38" s="354" t="s">
        <v>41</v>
      </c>
      <c r="C38" s="357">
        <v>105</v>
      </c>
      <c r="D38" s="52" t="s">
        <v>35</v>
      </c>
      <c r="E38" s="262">
        <v>5134.92</v>
      </c>
      <c r="F38" s="286">
        <v>46163</v>
      </c>
      <c r="G38" s="262">
        <v>5247.93</v>
      </c>
      <c r="H38" s="286">
        <v>46197</v>
      </c>
      <c r="I38" s="34">
        <f>G38-E38</f>
        <v>113.01000000000022</v>
      </c>
      <c r="J38" s="34"/>
      <c r="K38" s="34">
        <v>257</v>
      </c>
      <c r="L38" s="360">
        <v>206789.22</v>
      </c>
      <c r="M38" s="36">
        <f t="shared" ref="M38:M43" si="4">I38*K38+J38</f>
        <v>29043.570000000058</v>
      </c>
      <c r="N38" s="37"/>
      <c r="O38" s="38">
        <f>M38-N38</f>
        <v>29043.570000000058</v>
      </c>
    </row>
    <row r="39" spans="1:15" ht="60" customHeight="1" thickBot="1" x14ac:dyDescent="0.55000000000000004">
      <c r="A39" s="17"/>
      <c r="B39" s="355"/>
      <c r="C39" s="358"/>
      <c r="D39" s="21" t="s">
        <v>36</v>
      </c>
      <c r="E39" s="261">
        <v>767</v>
      </c>
      <c r="F39" s="286">
        <v>46163</v>
      </c>
      <c r="G39" s="261">
        <v>787</v>
      </c>
      <c r="H39" s="286">
        <v>46197</v>
      </c>
      <c r="I39" s="34">
        <f>G39-E39</f>
        <v>20</v>
      </c>
      <c r="J39" s="34">
        <v>1000</v>
      </c>
      <c r="K39" s="20">
        <v>1200</v>
      </c>
      <c r="L39" s="361"/>
      <c r="M39" s="36">
        <f t="shared" si="4"/>
        <v>25000</v>
      </c>
      <c r="N39" s="19"/>
      <c r="O39" s="38">
        <f>L39+M39-N39</f>
        <v>25000</v>
      </c>
    </row>
    <row r="40" spans="1:15" ht="60" customHeight="1" thickBot="1" x14ac:dyDescent="0.55000000000000004">
      <c r="A40" s="17"/>
      <c r="B40" s="355"/>
      <c r="C40" s="358"/>
      <c r="D40" s="53" t="s">
        <v>37</v>
      </c>
      <c r="E40" s="40">
        <v>0</v>
      </c>
      <c r="F40" s="286">
        <v>46163</v>
      </c>
      <c r="G40" s="40">
        <v>0</v>
      </c>
      <c r="H40" s="286">
        <v>46197</v>
      </c>
      <c r="I40" s="39">
        <v>0</v>
      </c>
      <c r="J40" s="39"/>
      <c r="K40" s="39">
        <v>25000</v>
      </c>
      <c r="L40" s="361"/>
      <c r="M40" s="36">
        <f t="shared" si="4"/>
        <v>0</v>
      </c>
      <c r="N40" s="23"/>
      <c r="O40" s="38">
        <f>L40+M40-N40</f>
        <v>0</v>
      </c>
    </row>
    <row r="41" spans="1:15" ht="60" customHeight="1" thickBot="1" x14ac:dyDescent="0.55000000000000004">
      <c r="A41" s="17"/>
      <c r="B41" s="355"/>
      <c r="C41" s="358"/>
      <c r="D41" s="59" t="s">
        <v>42</v>
      </c>
      <c r="E41" s="56"/>
      <c r="F41" s="286"/>
      <c r="G41" s="56"/>
      <c r="H41" s="286"/>
      <c r="I41" s="55"/>
      <c r="J41" s="55"/>
      <c r="K41" s="55">
        <v>0</v>
      </c>
      <c r="L41" s="361"/>
      <c r="M41" s="36">
        <f t="shared" si="4"/>
        <v>0</v>
      </c>
      <c r="N41" s="58"/>
      <c r="O41" s="38">
        <f>L41+M41-N41</f>
        <v>0</v>
      </c>
    </row>
    <row r="42" spans="1:15" ht="60" customHeight="1" thickBot="1" x14ac:dyDescent="0.55000000000000004">
      <c r="A42" s="17"/>
      <c r="B42" s="355"/>
      <c r="C42" s="358"/>
      <c r="D42" s="52" t="s">
        <v>85</v>
      </c>
      <c r="E42" s="35"/>
      <c r="F42" s="286"/>
      <c r="G42" s="35"/>
      <c r="H42" s="286"/>
      <c r="I42" s="55">
        <v>1</v>
      </c>
      <c r="J42" s="34"/>
      <c r="K42" s="34">
        <v>2000</v>
      </c>
      <c r="L42" s="361"/>
      <c r="M42" s="36">
        <f t="shared" si="4"/>
        <v>2000</v>
      </c>
      <c r="N42" s="37"/>
      <c r="O42" s="38">
        <f>L42+M42-N42</f>
        <v>2000</v>
      </c>
    </row>
    <row r="43" spans="1:15" ht="60" customHeight="1" thickBot="1" x14ac:dyDescent="0.55000000000000004">
      <c r="A43" s="17"/>
      <c r="B43" s="355"/>
      <c r="C43" s="358"/>
      <c r="D43" s="59" t="s">
        <v>14</v>
      </c>
      <c r="E43" s="56"/>
      <c r="F43" s="286"/>
      <c r="G43" s="56"/>
      <c r="H43" s="286"/>
      <c r="I43" s="55"/>
      <c r="J43" s="55"/>
      <c r="K43" s="55"/>
      <c r="L43" s="362"/>
      <c r="M43" s="36">
        <f t="shared" si="4"/>
        <v>0</v>
      </c>
      <c r="N43" s="58"/>
      <c r="O43" s="38">
        <f>L38</f>
        <v>206789.22</v>
      </c>
    </row>
    <row r="44" spans="1:15" ht="60" customHeight="1" thickBot="1" x14ac:dyDescent="0.55000000000000004">
      <c r="A44" s="17"/>
      <c r="B44" s="356"/>
      <c r="C44" s="359"/>
      <c r="D44" s="41" t="s">
        <v>38</v>
      </c>
      <c r="E44" s="42"/>
      <c r="F44" s="286"/>
      <c r="G44" s="42"/>
      <c r="H44" s="286"/>
      <c r="I44" s="43"/>
      <c r="J44" s="43"/>
      <c r="K44" s="43"/>
      <c r="L44" s="44"/>
      <c r="M44" s="44"/>
      <c r="N44" s="45"/>
      <c r="O44" s="46">
        <f>SUM(O38:O43)</f>
        <v>262832.79000000004</v>
      </c>
    </row>
    <row r="45" spans="1:15" ht="60" customHeight="1" thickBot="1" x14ac:dyDescent="0.55000000000000004">
      <c r="A45" s="22"/>
      <c r="B45" s="276"/>
      <c r="C45" s="278"/>
      <c r="D45" s="60"/>
      <c r="E45" s="61"/>
      <c r="F45" s="286"/>
      <c r="G45" s="61"/>
      <c r="H45" s="286"/>
      <c r="I45" s="60"/>
      <c r="J45" s="60"/>
      <c r="K45" s="60"/>
      <c r="L45" s="62"/>
      <c r="M45" s="62"/>
      <c r="N45" s="63"/>
      <c r="O45" s="64"/>
    </row>
    <row r="46" spans="1:15" ht="60" customHeight="1" thickBot="1" x14ac:dyDescent="0.35">
      <c r="A46" s="8" t="s">
        <v>3</v>
      </c>
      <c r="B46" s="9" t="s">
        <v>0</v>
      </c>
      <c r="C46" s="11" t="s">
        <v>1</v>
      </c>
      <c r="D46" s="32" t="s">
        <v>34</v>
      </c>
      <c r="E46" s="11" t="s">
        <v>198</v>
      </c>
      <c r="F46" s="286" t="s">
        <v>199</v>
      </c>
      <c r="G46" s="11" t="s">
        <v>197</v>
      </c>
      <c r="H46" s="286" t="s">
        <v>184</v>
      </c>
      <c r="I46" s="10" t="s">
        <v>2</v>
      </c>
      <c r="J46" s="10" t="s">
        <v>39</v>
      </c>
      <c r="K46" s="11" t="s">
        <v>40</v>
      </c>
      <c r="L46" s="13" t="s">
        <v>14</v>
      </c>
      <c r="M46" s="14" t="s">
        <v>15</v>
      </c>
      <c r="N46" s="15" t="s">
        <v>11</v>
      </c>
      <c r="O46" s="16" t="s">
        <v>76</v>
      </c>
    </row>
    <row r="47" spans="1:15" ht="60" customHeight="1" thickBot="1" x14ac:dyDescent="0.55000000000000004">
      <c r="A47" s="17">
        <v>1</v>
      </c>
      <c r="B47" s="354" t="s">
        <v>16</v>
      </c>
      <c r="C47" s="357">
        <v>201</v>
      </c>
      <c r="D47" s="52" t="s">
        <v>35</v>
      </c>
      <c r="E47" s="262">
        <v>1919.93</v>
      </c>
      <c r="F47" s="286">
        <v>46163</v>
      </c>
      <c r="G47" s="262">
        <v>1962.88</v>
      </c>
      <c r="H47" s="286">
        <v>46197</v>
      </c>
      <c r="I47" s="34">
        <f>G47-E47</f>
        <v>42.950000000000045</v>
      </c>
      <c r="J47" s="34"/>
      <c r="K47" s="34">
        <v>257</v>
      </c>
      <c r="L47" s="360">
        <v>-155.1</v>
      </c>
      <c r="M47" s="36">
        <f t="shared" ref="M47:M52" si="5">I47*K47+J47</f>
        <v>11038.150000000012</v>
      </c>
      <c r="N47" s="37"/>
      <c r="O47" s="38">
        <f>M47-N47</f>
        <v>11038.150000000012</v>
      </c>
    </row>
    <row r="48" spans="1:15" ht="49.5" customHeight="1" thickBot="1" x14ac:dyDescent="0.55000000000000004">
      <c r="A48" s="17"/>
      <c r="B48" s="355"/>
      <c r="C48" s="358"/>
      <c r="D48" s="21" t="s">
        <v>36</v>
      </c>
      <c r="E48" s="261">
        <v>238</v>
      </c>
      <c r="F48" s="286">
        <v>46163</v>
      </c>
      <c r="G48" s="261">
        <v>245</v>
      </c>
      <c r="H48" s="286">
        <v>46197</v>
      </c>
      <c r="I48" s="34">
        <f>G48-E48</f>
        <v>7</v>
      </c>
      <c r="J48" s="34">
        <v>1000</v>
      </c>
      <c r="K48" s="20">
        <v>1200</v>
      </c>
      <c r="L48" s="361"/>
      <c r="M48" s="36">
        <f t="shared" si="5"/>
        <v>9400</v>
      </c>
      <c r="N48" s="19"/>
      <c r="O48" s="38">
        <f>L48+M48-N48</f>
        <v>9400</v>
      </c>
    </row>
    <row r="49" spans="1:15" ht="60" customHeight="1" thickBot="1" x14ac:dyDescent="0.55000000000000004">
      <c r="A49" s="17"/>
      <c r="B49" s="355"/>
      <c r="C49" s="358"/>
      <c r="D49" s="53" t="s">
        <v>37</v>
      </c>
      <c r="E49" s="40">
        <v>0</v>
      </c>
      <c r="F49" s="286">
        <v>46163</v>
      </c>
      <c r="G49" s="40">
        <v>0</v>
      </c>
      <c r="H49" s="286">
        <v>46197</v>
      </c>
      <c r="I49" s="39">
        <v>1</v>
      </c>
      <c r="J49" s="39"/>
      <c r="K49" s="39">
        <v>25000</v>
      </c>
      <c r="L49" s="361"/>
      <c r="M49" s="36">
        <f t="shared" si="5"/>
        <v>25000</v>
      </c>
      <c r="N49" s="23"/>
      <c r="O49" s="38">
        <f>L49+M49-N49</f>
        <v>25000</v>
      </c>
    </row>
    <row r="50" spans="1:15" ht="39" customHeight="1" thickBot="1" x14ac:dyDescent="0.55000000000000004">
      <c r="A50" s="17"/>
      <c r="B50" s="355"/>
      <c r="C50" s="358"/>
      <c r="D50" s="59" t="s">
        <v>42</v>
      </c>
      <c r="E50" s="56"/>
      <c r="F50" s="286"/>
      <c r="G50" s="56"/>
      <c r="H50" s="286"/>
      <c r="I50" s="55"/>
      <c r="J50" s="55"/>
      <c r="K50" s="55">
        <v>0</v>
      </c>
      <c r="L50" s="361"/>
      <c r="M50" s="36">
        <f t="shared" si="5"/>
        <v>0</v>
      </c>
      <c r="N50" s="58"/>
      <c r="O50" s="38">
        <f>L50+M50-N50</f>
        <v>0</v>
      </c>
    </row>
    <row r="51" spans="1:15" ht="60" customHeight="1" thickBot="1" x14ac:dyDescent="0.55000000000000004">
      <c r="A51" s="17"/>
      <c r="B51" s="355"/>
      <c r="C51" s="358"/>
      <c r="D51" s="52" t="s">
        <v>85</v>
      </c>
      <c r="E51" s="35"/>
      <c r="F51" s="286"/>
      <c r="G51" s="35"/>
      <c r="H51" s="286"/>
      <c r="I51" s="55">
        <v>1</v>
      </c>
      <c r="J51" s="34"/>
      <c r="K51" s="34">
        <v>2000</v>
      </c>
      <c r="L51" s="361"/>
      <c r="M51" s="36">
        <f t="shared" si="5"/>
        <v>2000</v>
      </c>
      <c r="N51" s="37"/>
      <c r="O51" s="38">
        <f>L51+M51-N51</f>
        <v>2000</v>
      </c>
    </row>
    <row r="52" spans="1:15" ht="42.75" customHeight="1" thickBot="1" x14ac:dyDescent="0.55000000000000004">
      <c r="A52" s="17"/>
      <c r="B52" s="355"/>
      <c r="C52" s="358"/>
      <c r="D52" s="59" t="s">
        <v>14</v>
      </c>
      <c r="E52" s="56"/>
      <c r="F52" s="286"/>
      <c r="G52" s="56"/>
      <c r="H52" s="286"/>
      <c r="I52" s="55"/>
      <c r="J52" s="55"/>
      <c r="K52" s="55"/>
      <c r="L52" s="362"/>
      <c r="M52" s="36">
        <f t="shared" si="5"/>
        <v>0</v>
      </c>
      <c r="N52" s="58"/>
      <c r="O52" s="38">
        <f>L47</f>
        <v>-155.1</v>
      </c>
    </row>
    <row r="53" spans="1:15" ht="48" customHeight="1" thickBot="1" x14ac:dyDescent="0.55000000000000004">
      <c r="A53" s="17"/>
      <c r="B53" s="356"/>
      <c r="C53" s="359"/>
      <c r="D53" s="41" t="s">
        <v>38</v>
      </c>
      <c r="E53" s="42"/>
      <c r="F53" s="286"/>
      <c r="G53" s="42"/>
      <c r="H53" s="286"/>
      <c r="I53" s="43"/>
      <c r="J53" s="43"/>
      <c r="K53" s="43"/>
      <c r="L53" s="44"/>
      <c r="M53" s="44"/>
      <c r="N53" s="45"/>
      <c r="O53" s="46">
        <f>SUM(O47:O52)</f>
        <v>47283.05000000001</v>
      </c>
    </row>
    <row r="54" spans="1:15" ht="60" customHeight="1" thickBot="1" x14ac:dyDescent="0.55000000000000004">
      <c r="A54" s="22"/>
      <c r="B54" s="276"/>
      <c r="C54" s="278"/>
      <c r="D54" s="60"/>
      <c r="E54" s="61"/>
      <c r="F54" s="286"/>
      <c r="G54" s="61"/>
      <c r="H54" s="286"/>
      <c r="I54" s="60"/>
      <c r="J54" s="60"/>
      <c r="K54" s="60"/>
      <c r="L54" s="62"/>
      <c r="M54" s="62"/>
      <c r="N54" s="63"/>
      <c r="O54" s="64"/>
    </row>
    <row r="55" spans="1:15" ht="60" customHeight="1" thickBot="1" x14ac:dyDescent="0.35">
      <c r="A55" s="8" t="s">
        <v>3</v>
      </c>
      <c r="B55" s="9" t="s">
        <v>0</v>
      </c>
      <c r="C55" s="11" t="s">
        <v>1</v>
      </c>
      <c r="D55" s="32" t="s">
        <v>34</v>
      </c>
      <c r="E55" s="11" t="s">
        <v>198</v>
      </c>
      <c r="F55" s="286" t="s">
        <v>199</v>
      </c>
      <c r="G55" s="11" t="s">
        <v>197</v>
      </c>
      <c r="H55" s="286" t="s">
        <v>184</v>
      </c>
      <c r="I55" s="10" t="s">
        <v>2</v>
      </c>
      <c r="J55" s="10" t="s">
        <v>39</v>
      </c>
      <c r="K55" s="11" t="s">
        <v>40</v>
      </c>
      <c r="L55" s="13" t="s">
        <v>14</v>
      </c>
      <c r="M55" s="14" t="s">
        <v>15</v>
      </c>
      <c r="N55" s="15" t="s">
        <v>11</v>
      </c>
      <c r="O55" s="16" t="s">
        <v>76</v>
      </c>
    </row>
    <row r="56" spans="1:15" ht="60" customHeight="1" thickBot="1" x14ac:dyDescent="0.55000000000000004">
      <c r="A56" s="17">
        <v>1</v>
      </c>
      <c r="B56" s="363" t="s">
        <v>45</v>
      </c>
      <c r="C56" s="357">
        <v>202</v>
      </c>
      <c r="D56" s="52" t="s">
        <v>35</v>
      </c>
      <c r="E56" s="262">
        <v>1935.07</v>
      </c>
      <c r="F56" s="286">
        <v>46163</v>
      </c>
      <c r="G56" s="262">
        <v>2091.5500000000002</v>
      </c>
      <c r="H56" s="286">
        <v>46197</v>
      </c>
      <c r="I56" s="34">
        <f>G56-E56</f>
        <v>156.48000000000025</v>
      </c>
      <c r="J56" s="34"/>
      <c r="K56" s="34">
        <v>257</v>
      </c>
      <c r="L56" s="360">
        <v>50013.09</v>
      </c>
      <c r="M56" s="36">
        <f t="shared" ref="M56:M61" si="6">I56*K56+J56</f>
        <v>40215.360000000066</v>
      </c>
      <c r="N56" s="37">
        <v>0</v>
      </c>
      <c r="O56" s="38">
        <f>M56-N56</f>
        <v>40215.360000000066</v>
      </c>
    </row>
    <row r="57" spans="1:15" ht="60" customHeight="1" thickBot="1" x14ac:dyDescent="0.55000000000000004">
      <c r="A57" s="17"/>
      <c r="B57" s="364"/>
      <c r="C57" s="358"/>
      <c r="D57" s="21" t="s">
        <v>36</v>
      </c>
      <c r="E57" s="261">
        <v>417</v>
      </c>
      <c r="F57" s="286">
        <v>46163</v>
      </c>
      <c r="G57" s="261">
        <v>437</v>
      </c>
      <c r="H57" s="286">
        <v>46197</v>
      </c>
      <c r="I57" s="34">
        <f>G57-E57</f>
        <v>20</v>
      </c>
      <c r="J57" s="34">
        <v>1000</v>
      </c>
      <c r="K57" s="20">
        <v>1200</v>
      </c>
      <c r="L57" s="361"/>
      <c r="M57" s="36">
        <f t="shared" si="6"/>
        <v>25000</v>
      </c>
      <c r="N57" s="19"/>
      <c r="O57" s="38">
        <f>L57+M57-N57</f>
        <v>25000</v>
      </c>
    </row>
    <row r="58" spans="1:15" ht="60" customHeight="1" thickBot="1" x14ac:dyDescent="0.55000000000000004">
      <c r="A58" s="17"/>
      <c r="B58" s="364"/>
      <c r="C58" s="358"/>
      <c r="D58" s="53" t="s">
        <v>37</v>
      </c>
      <c r="E58" s="40">
        <v>0</v>
      </c>
      <c r="F58" s="286">
        <v>46163</v>
      </c>
      <c r="G58" s="40">
        <v>0</v>
      </c>
      <c r="H58" s="286">
        <v>46197</v>
      </c>
      <c r="I58" s="39">
        <v>1</v>
      </c>
      <c r="J58" s="39"/>
      <c r="K58" s="39">
        <v>25000</v>
      </c>
      <c r="L58" s="361"/>
      <c r="M58" s="36">
        <f t="shared" si="6"/>
        <v>25000</v>
      </c>
      <c r="N58" s="23">
        <v>0</v>
      </c>
      <c r="O58" s="38">
        <f>L58+M58-N58</f>
        <v>25000</v>
      </c>
    </row>
    <row r="59" spans="1:15" ht="60" customHeight="1" thickBot="1" x14ac:dyDescent="0.55000000000000004">
      <c r="A59" s="17"/>
      <c r="B59" s="364"/>
      <c r="C59" s="358"/>
      <c r="D59" s="59" t="s">
        <v>42</v>
      </c>
      <c r="E59" s="56"/>
      <c r="F59" s="286"/>
      <c r="G59" s="56"/>
      <c r="H59" s="286"/>
      <c r="I59" s="55"/>
      <c r="J59" s="55"/>
      <c r="K59" s="55"/>
      <c r="L59" s="361"/>
      <c r="M59" s="36">
        <f t="shared" si="6"/>
        <v>0</v>
      </c>
      <c r="N59" s="58"/>
      <c r="O59" s="38">
        <f>L59+M59-N59</f>
        <v>0</v>
      </c>
    </row>
    <row r="60" spans="1:15" ht="60" customHeight="1" thickBot="1" x14ac:dyDescent="0.55000000000000004">
      <c r="A60" s="17"/>
      <c r="B60" s="364"/>
      <c r="C60" s="358"/>
      <c r="D60" s="52" t="s">
        <v>85</v>
      </c>
      <c r="E60" s="35"/>
      <c r="F60" s="286"/>
      <c r="G60" s="35"/>
      <c r="H60" s="286"/>
      <c r="I60" s="55">
        <v>1</v>
      </c>
      <c r="J60" s="34"/>
      <c r="K60" s="34">
        <v>2000</v>
      </c>
      <c r="L60" s="361"/>
      <c r="M60" s="36">
        <f t="shared" si="6"/>
        <v>2000</v>
      </c>
      <c r="N60" s="37"/>
      <c r="O60" s="38">
        <f>L60+M60-N60</f>
        <v>2000</v>
      </c>
    </row>
    <row r="61" spans="1:15" ht="60" customHeight="1" thickBot="1" x14ac:dyDescent="0.55000000000000004">
      <c r="A61" s="17"/>
      <c r="B61" s="364"/>
      <c r="C61" s="358"/>
      <c r="D61" s="59" t="s">
        <v>14</v>
      </c>
      <c r="E61" s="56"/>
      <c r="F61" s="286"/>
      <c r="G61" s="56"/>
      <c r="H61" s="286"/>
      <c r="I61" s="55"/>
      <c r="J61" s="55"/>
      <c r="K61" s="55"/>
      <c r="L61" s="362"/>
      <c r="M61" s="36">
        <f t="shared" si="6"/>
        <v>0</v>
      </c>
      <c r="N61" s="58"/>
      <c r="O61" s="38">
        <f>L56</f>
        <v>50013.09</v>
      </c>
    </row>
    <row r="62" spans="1:15" ht="60" customHeight="1" thickBot="1" x14ac:dyDescent="0.55000000000000004">
      <c r="A62" s="17"/>
      <c r="B62" s="365"/>
      <c r="C62" s="359"/>
      <c r="D62" s="41" t="s">
        <v>38</v>
      </c>
      <c r="E62" s="42"/>
      <c r="F62" s="286"/>
      <c r="G62" s="42"/>
      <c r="H62" s="286"/>
      <c r="I62" s="43"/>
      <c r="J62" s="43"/>
      <c r="K62" s="43"/>
      <c r="L62" s="44"/>
      <c r="M62" s="44"/>
      <c r="N62" s="45"/>
      <c r="O62" s="46">
        <f>SUM(O56:O61)</f>
        <v>142228.45000000007</v>
      </c>
    </row>
    <row r="63" spans="1:15" ht="60" customHeight="1" thickBot="1" x14ac:dyDescent="0.55000000000000004">
      <c r="A63" s="22"/>
      <c r="B63" s="279"/>
      <c r="C63" s="278"/>
      <c r="D63" s="60"/>
      <c r="E63" s="61"/>
      <c r="F63" s="286"/>
      <c r="G63" s="61"/>
      <c r="H63" s="286"/>
      <c r="I63" s="60"/>
      <c r="J63" s="60"/>
      <c r="K63" s="60"/>
      <c r="L63" s="62"/>
      <c r="M63" s="62"/>
      <c r="N63" s="63"/>
      <c r="O63" s="64"/>
    </row>
    <row r="64" spans="1:15" ht="60" customHeight="1" thickBot="1" x14ac:dyDescent="0.35">
      <c r="A64" s="8" t="s">
        <v>3</v>
      </c>
      <c r="B64" s="9" t="s">
        <v>0</v>
      </c>
      <c r="C64" s="11" t="s">
        <v>1</v>
      </c>
      <c r="D64" s="32" t="s">
        <v>34</v>
      </c>
      <c r="E64" s="11" t="s">
        <v>198</v>
      </c>
      <c r="F64" s="286" t="s">
        <v>199</v>
      </c>
      <c r="G64" s="11" t="s">
        <v>197</v>
      </c>
      <c r="H64" s="286" t="s">
        <v>184</v>
      </c>
      <c r="I64" s="10" t="s">
        <v>2</v>
      </c>
      <c r="J64" s="10" t="s">
        <v>39</v>
      </c>
      <c r="K64" s="11" t="s">
        <v>40</v>
      </c>
      <c r="L64" s="13" t="s">
        <v>14</v>
      </c>
      <c r="M64" s="14" t="s">
        <v>15</v>
      </c>
      <c r="N64" s="15" t="s">
        <v>11</v>
      </c>
      <c r="O64" s="16" t="s">
        <v>76</v>
      </c>
    </row>
    <row r="65" spans="1:15" ht="60" customHeight="1" thickBot="1" x14ac:dyDescent="0.55000000000000004">
      <c r="A65" s="17">
        <v>1</v>
      </c>
      <c r="B65" s="363" t="s">
        <v>46</v>
      </c>
      <c r="C65" s="357">
        <v>203</v>
      </c>
      <c r="D65" s="52" t="s">
        <v>35</v>
      </c>
      <c r="E65" s="262">
        <v>1423.62</v>
      </c>
      <c r="F65" s="286">
        <v>46163</v>
      </c>
      <c r="G65" s="262">
        <v>1426.66</v>
      </c>
      <c r="H65" s="286">
        <v>46197</v>
      </c>
      <c r="I65" s="34">
        <f>G65-E65</f>
        <v>3.040000000000191</v>
      </c>
      <c r="J65" s="34"/>
      <c r="K65" s="34">
        <v>257</v>
      </c>
      <c r="L65" s="360">
        <v>269.63</v>
      </c>
      <c r="M65" s="36">
        <f t="shared" ref="M65:M70" si="7">I65*K65+J65</f>
        <v>781.28000000004909</v>
      </c>
      <c r="N65" s="37"/>
      <c r="O65" s="38">
        <f>M65-N65</f>
        <v>781.28000000004909</v>
      </c>
    </row>
    <row r="66" spans="1:15" ht="60" customHeight="1" thickBot="1" x14ac:dyDescent="0.55000000000000004">
      <c r="A66" s="17"/>
      <c r="B66" s="364"/>
      <c r="C66" s="358"/>
      <c r="D66" s="21" t="s">
        <v>36</v>
      </c>
      <c r="E66" s="261">
        <v>764</v>
      </c>
      <c r="F66" s="286">
        <v>46163</v>
      </c>
      <c r="G66" s="261">
        <v>773</v>
      </c>
      <c r="H66" s="286">
        <v>46197</v>
      </c>
      <c r="I66" s="34">
        <f>G66-E66</f>
        <v>9</v>
      </c>
      <c r="J66" s="34">
        <v>1000</v>
      </c>
      <c r="K66" s="20">
        <v>1200</v>
      </c>
      <c r="L66" s="361"/>
      <c r="M66" s="36">
        <f t="shared" si="7"/>
        <v>11800</v>
      </c>
      <c r="N66" s="19"/>
      <c r="O66" s="38">
        <f>L66+M66-N66</f>
        <v>11800</v>
      </c>
    </row>
    <row r="67" spans="1:15" ht="60" customHeight="1" thickBot="1" x14ac:dyDescent="0.55000000000000004">
      <c r="A67" s="17"/>
      <c r="B67" s="364"/>
      <c r="C67" s="358"/>
      <c r="D67" s="53" t="s">
        <v>37</v>
      </c>
      <c r="E67" s="40">
        <v>0</v>
      </c>
      <c r="F67" s="286">
        <v>46163</v>
      </c>
      <c r="G67" s="40">
        <v>0</v>
      </c>
      <c r="H67" s="286">
        <v>46197</v>
      </c>
      <c r="I67" s="39">
        <v>1</v>
      </c>
      <c r="J67" s="39"/>
      <c r="K67" s="39">
        <v>25000</v>
      </c>
      <c r="L67" s="361"/>
      <c r="M67" s="36">
        <f t="shared" si="7"/>
        <v>25000</v>
      </c>
      <c r="N67" s="23"/>
      <c r="O67" s="38">
        <f>L67+M67-N67</f>
        <v>25000</v>
      </c>
    </row>
    <row r="68" spans="1:15" ht="60" customHeight="1" thickBot="1" x14ac:dyDescent="0.55000000000000004">
      <c r="A68" s="17"/>
      <c r="B68" s="364"/>
      <c r="C68" s="358"/>
      <c r="D68" s="59" t="s">
        <v>42</v>
      </c>
      <c r="E68" s="56"/>
      <c r="F68" s="286"/>
      <c r="G68" s="56"/>
      <c r="H68" s="286"/>
      <c r="I68" s="55"/>
      <c r="J68" s="55"/>
      <c r="K68" s="55">
        <v>0</v>
      </c>
      <c r="L68" s="361"/>
      <c r="M68" s="36">
        <f t="shared" si="7"/>
        <v>0</v>
      </c>
      <c r="N68" s="58"/>
      <c r="O68" s="38">
        <f>L68+M68-N68</f>
        <v>0</v>
      </c>
    </row>
    <row r="69" spans="1:15" ht="60" customHeight="1" thickBot="1" x14ac:dyDescent="0.55000000000000004">
      <c r="A69" s="17"/>
      <c r="B69" s="364"/>
      <c r="C69" s="358"/>
      <c r="D69" s="52" t="s">
        <v>85</v>
      </c>
      <c r="E69" s="35"/>
      <c r="F69" s="286"/>
      <c r="G69" s="35"/>
      <c r="H69" s="286"/>
      <c r="I69" s="55">
        <v>1</v>
      </c>
      <c r="J69" s="34"/>
      <c r="K69" s="34">
        <v>2000</v>
      </c>
      <c r="L69" s="361"/>
      <c r="M69" s="36">
        <f t="shared" si="7"/>
        <v>2000</v>
      </c>
      <c r="N69" s="37"/>
      <c r="O69" s="38">
        <f>L69+M69-N69</f>
        <v>2000</v>
      </c>
    </row>
    <row r="70" spans="1:15" ht="60" customHeight="1" thickBot="1" x14ac:dyDescent="0.55000000000000004">
      <c r="A70" s="17"/>
      <c r="B70" s="364"/>
      <c r="C70" s="358"/>
      <c r="D70" s="59" t="s">
        <v>14</v>
      </c>
      <c r="E70" s="56"/>
      <c r="F70" s="286"/>
      <c r="G70" s="56"/>
      <c r="H70" s="286"/>
      <c r="I70" s="55"/>
      <c r="J70" s="55"/>
      <c r="K70" s="55"/>
      <c r="L70" s="362"/>
      <c r="M70" s="36">
        <f t="shared" si="7"/>
        <v>0</v>
      </c>
      <c r="N70" s="58"/>
      <c r="O70" s="38">
        <f>L65</f>
        <v>269.63</v>
      </c>
    </row>
    <row r="71" spans="1:15" ht="60" customHeight="1" thickBot="1" x14ac:dyDescent="0.55000000000000004">
      <c r="A71" s="17"/>
      <c r="B71" s="365"/>
      <c r="C71" s="359"/>
      <c r="D71" s="41" t="s">
        <v>38</v>
      </c>
      <c r="E71" s="42"/>
      <c r="F71" s="286"/>
      <c r="G71" s="42"/>
      <c r="H71" s="286"/>
      <c r="I71" s="43"/>
      <c r="J71" s="43"/>
      <c r="K71" s="43"/>
      <c r="L71" s="44"/>
      <c r="M71" s="44"/>
      <c r="N71" s="45"/>
      <c r="O71" s="46">
        <f>SUM(O65:O70)</f>
        <v>39850.910000000047</v>
      </c>
    </row>
    <row r="72" spans="1:15" ht="60" customHeight="1" thickBot="1" x14ac:dyDescent="0.55000000000000004">
      <c r="A72" s="22"/>
      <c r="B72" s="279"/>
      <c r="C72" s="278"/>
      <c r="D72" s="60"/>
      <c r="E72" s="61"/>
      <c r="F72" s="286"/>
      <c r="G72" s="61"/>
      <c r="H72" s="286"/>
      <c r="I72" s="60"/>
      <c r="J72" s="60"/>
      <c r="K72" s="60"/>
      <c r="L72" s="62"/>
      <c r="M72" s="62"/>
      <c r="N72" s="63"/>
      <c r="O72" s="64"/>
    </row>
    <row r="73" spans="1:15" ht="60" customHeight="1" thickBot="1" x14ac:dyDescent="0.55000000000000004">
      <c r="A73" s="22"/>
      <c r="B73" s="279"/>
      <c r="C73" s="278"/>
      <c r="D73" s="60"/>
      <c r="E73" s="61"/>
      <c r="F73" s="286"/>
      <c r="G73" s="61"/>
      <c r="H73" s="286"/>
      <c r="I73" s="60"/>
      <c r="J73" s="60"/>
      <c r="K73" s="60"/>
      <c r="L73" s="62"/>
      <c r="M73" s="62"/>
      <c r="N73" s="63"/>
      <c r="O73" s="64"/>
    </row>
    <row r="74" spans="1:15" ht="60" customHeight="1" thickBot="1" x14ac:dyDescent="0.55000000000000004">
      <c r="A74" s="22"/>
      <c r="B74" s="279"/>
      <c r="C74" s="278"/>
      <c r="D74" s="60"/>
      <c r="E74" s="61"/>
      <c r="F74" s="286"/>
      <c r="G74" s="61"/>
      <c r="H74" s="286"/>
      <c r="I74" s="60"/>
      <c r="J74" s="60"/>
      <c r="K74" s="60"/>
      <c r="L74" s="62"/>
      <c r="M74" s="62"/>
      <c r="N74" s="63"/>
      <c r="O74" s="64"/>
    </row>
    <row r="75" spans="1:15" ht="60" customHeight="1" thickBot="1" x14ac:dyDescent="0.55000000000000004">
      <c r="A75" s="22"/>
      <c r="B75" s="279"/>
      <c r="C75" s="278"/>
      <c r="D75" s="60"/>
      <c r="E75" s="61"/>
      <c r="F75" s="286"/>
      <c r="G75" s="61"/>
      <c r="H75" s="286"/>
      <c r="I75" s="60"/>
      <c r="J75" s="60"/>
      <c r="K75" s="60"/>
      <c r="L75" s="62"/>
      <c r="M75" s="62"/>
      <c r="N75" s="63"/>
      <c r="O75" s="64"/>
    </row>
    <row r="76" spans="1:15" ht="60" customHeight="1" thickBot="1" x14ac:dyDescent="0.55000000000000004">
      <c r="A76" s="22"/>
      <c r="B76" s="279"/>
      <c r="C76" s="278"/>
      <c r="D76" s="60"/>
      <c r="E76" s="61"/>
      <c r="F76" s="286"/>
      <c r="G76" s="61"/>
      <c r="H76" s="286"/>
      <c r="I76" s="60"/>
      <c r="J76" s="60"/>
      <c r="K76" s="60"/>
      <c r="L76" s="62"/>
      <c r="M76" s="62"/>
      <c r="N76" s="63"/>
      <c r="O76" s="64"/>
    </row>
    <row r="77" spans="1:15" ht="60" customHeight="1" thickBot="1" x14ac:dyDescent="0.55000000000000004">
      <c r="A77" s="22"/>
      <c r="B77" s="279"/>
      <c r="C77" s="278"/>
      <c r="D77" s="60"/>
      <c r="E77" s="61"/>
      <c r="F77" s="286"/>
      <c r="G77" s="61"/>
      <c r="H77" s="286"/>
      <c r="I77" s="60"/>
      <c r="J77" s="60"/>
      <c r="K77" s="60"/>
      <c r="L77" s="62"/>
      <c r="M77" s="62"/>
      <c r="N77" s="63"/>
      <c r="O77" s="64"/>
    </row>
    <row r="78" spans="1:15" ht="60" customHeight="1" thickBot="1" x14ac:dyDescent="0.55000000000000004">
      <c r="A78" s="22"/>
      <c r="B78" s="279"/>
      <c r="C78" s="278"/>
      <c r="D78" s="60"/>
      <c r="E78" s="61"/>
      <c r="F78" s="286"/>
      <c r="G78" s="61"/>
      <c r="H78" s="286"/>
      <c r="I78" s="60"/>
      <c r="J78" s="60"/>
      <c r="K78" s="60"/>
      <c r="L78" s="62"/>
      <c r="M78" s="62"/>
      <c r="N78" s="63"/>
      <c r="O78" s="64"/>
    </row>
    <row r="79" spans="1:15" ht="60" customHeight="1" thickBot="1" x14ac:dyDescent="0.35">
      <c r="A79" s="8" t="s">
        <v>3</v>
      </c>
      <c r="B79" s="9" t="s">
        <v>0</v>
      </c>
      <c r="C79" s="11" t="s">
        <v>1</v>
      </c>
      <c r="D79" s="32" t="s">
        <v>34</v>
      </c>
      <c r="E79" s="11" t="s">
        <v>198</v>
      </c>
      <c r="F79" s="286" t="s">
        <v>199</v>
      </c>
      <c r="G79" s="11" t="s">
        <v>197</v>
      </c>
      <c r="H79" s="286" t="s">
        <v>184</v>
      </c>
      <c r="I79" s="10" t="s">
        <v>2</v>
      </c>
      <c r="J79" s="10" t="s">
        <v>39</v>
      </c>
      <c r="K79" s="11" t="s">
        <v>40</v>
      </c>
      <c r="L79" s="13" t="s">
        <v>14</v>
      </c>
      <c r="M79" s="14" t="s">
        <v>15</v>
      </c>
      <c r="N79" s="15" t="s">
        <v>11</v>
      </c>
      <c r="O79" s="16" t="s">
        <v>76</v>
      </c>
    </row>
    <row r="80" spans="1:15" ht="60" customHeight="1" thickBot="1" x14ac:dyDescent="0.55000000000000004">
      <c r="A80" s="17">
        <v>1</v>
      </c>
      <c r="B80" s="363" t="s">
        <v>47</v>
      </c>
      <c r="C80" s="357">
        <v>204</v>
      </c>
      <c r="D80" s="52" t="s">
        <v>35</v>
      </c>
      <c r="E80" s="262">
        <v>6411.9</v>
      </c>
      <c r="F80" s="286">
        <v>46163</v>
      </c>
      <c r="G80" s="262">
        <v>6437.81</v>
      </c>
      <c r="H80" s="286">
        <v>46197</v>
      </c>
      <c r="I80" s="34">
        <f>G80-E80</f>
        <v>25.910000000000764</v>
      </c>
      <c r="J80" s="34"/>
      <c r="K80" s="34">
        <v>257</v>
      </c>
      <c r="L80" s="360">
        <v>-469.51</v>
      </c>
      <c r="M80" s="36">
        <f t="shared" ref="M80:M85" si="8">I80*K80+J80</f>
        <v>6658.8700000001963</v>
      </c>
      <c r="N80" s="37"/>
      <c r="O80" s="38">
        <f>M80-N80</f>
        <v>6658.8700000001963</v>
      </c>
    </row>
    <row r="81" spans="1:15" ht="60" customHeight="1" thickBot="1" x14ac:dyDescent="0.55000000000000004">
      <c r="A81" s="17"/>
      <c r="B81" s="364"/>
      <c r="C81" s="358"/>
      <c r="D81" s="21" t="s">
        <v>36</v>
      </c>
      <c r="E81" s="261">
        <v>770</v>
      </c>
      <c r="F81" s="286">
        <v>46163</v>
      </c>
      <c r="G81" s="261">
        <v>791</v>
      </c>
      <c r="H81" s="286">
        <v>46197</v>
      </c>
      <c r="I81" s="34">
        <f>G81-E81</f>
        <v>21</v>
      </c>
      <c r="J81" s="34">
        <v>1000</v>
      </c>
      <c r="K81" s="20">
        <v>1200</v>
      </c>
      <c r="L81" s="361"/>
      <c r="M81" s="36">
        <f t="shared" si="8"/>
        <v>26200</v>
      </c>
      <c r="N81" s="19"/>
      <c r="O81" s="38">
        <f>L81+M81-N81</f>
        <v>26200</v>
      </c>
    </row>
    <row r="82" spans="1:15" ht="60" customHeight="1" thickBot="1" x14ac:dyDescent="0.55000000000000004">
      <c r="A82" s="17"/>
      <c r="B82" s="364"/>
      <c r="C82" s="358"/>
      <c r="D82" s="53" t="s">
        <v>37</v>
      </c>
      <c r="E82" s="40">
        <v>0</v>
      </c>
      <c r="F82" s="286">
        <v>46163</v>
      </c>
      <c r="G82" s="40">
        <v>0</v>
      </c>
      <c r="H82" s="286">
        <v>46197</v>
      </c>
      <c r="I82" s="39">
        <v>1</v>
      </c>
      <c r="J82" s="39"/>
      <c r="K82" s="66">
        <v>25000</v>
      </c>
      <c r="L82" s="361"/>
      <c r="M82" s="36">
        <f t="shared" si="8"/>
        <v>25000</v>
      </c>
      <c r="N82" s="23"/>
      <c r="O82" s="38">
        <f>L82+M82-N82</f>
        <v>25000</v>
      </c>
    </row>
    <row r="83" spans="1:15" ht="60" customHeight="1" thickBot="1" x14ac:dyDescent="0.55000000000000004">
      <c r="A83" s="17"/>
      <c r="B83" s="364"/>
      <c r="C83" s="358"/>
      <c r="D83" s="59" t="s">
        <v>42</v>
      </c>
      <c r="E83" s="56"/>
      <c r="F83" s="286"/>
      <c r="G83" s="56"/>
      <c r="H83" s="286"/>
      <c r="I83" s="55"/>
      <c r="J83" s="55"/>
      <c r="K83" s="55">
        <v>0</v>
      </c>
      <c r="L83" s="361"/>
      <c r="M83" s="36">
        <f t="shared" si="8"/>
        <v>0</v>
      </c>
      <c r="N83" s="58"/>
      <c r="O83" s="38">
        <f>L83+M83-N83</f>
        <v>0</v>
      </c>
    </row>
    <row r="84" spans="1:15" ht="45.75" customHeight="1" thickBot="1" x14ac:dyDescent="0.55000000000000004">
      <c r="A84" s="17"/>
      <c r="B84" s="364"/>
      <c r="C84" s="358"/>
      <c r="D84" s="52" t="s">
        <v>85</v>
      </c>
      <c r="E84" s="35"/>
      <c r="F84" s="286"/>
      <c r="G84" s="35"/>
      <c r="H84" s="286"/>
      <c r="I84" s="55">
        <v>1</v>
      </c>
      <c r="J84" s="34"/>
      <c r="K84" s="34">
        <v>2000</v>
      </c>
      <c r="L84" s="361"/>
      <c r="M84" s="36">
        <f t="shared" si="8"/>
        <v>2000</v>
      </c>
      <c r="N84" s="37"/>
      <c r="O84" s="38">
        <f>L84+M84-N84</f>
        <v>2000</v>
      </c>
    </row>
    <row r="85" spans="1:15" ht="60" customHeight="1" thickBot="1" x14ac:dyDescent="0.55000000000000004">
      <c r="A85" s="17"/>
      <c r="B85" s="364"/>
      <c r="C85" s="358"/>
      <c r="D85" s="59" t="s">
        <v>14</v>
      </c>
      <c r="E85" s="56"/>
      <c r="F85" s="286"/>
      <c r="G85" s="56"/>
      <c r="H85" s="286"/>
      <c r="I85" s="55"/>
      <c r="J85" s="55"/>
      <c r="K85" s="55"/>
      <c r="L85" s="362"/>
      <c r="M85" s="36">
        <f t="shared" si="8"/>
        <v>0</v>
      </c>
      <c r="N85" s="58"/>
      <c r="O85" s="38">
        <f>L80</f>
        <v>-469.51</v>
      </c>
    </row>
    <row r="86" spans="1:15" ht="60" customHeight="1" thickBot="1" x14ac:dyDescent="0.55000000000000004">
      <c r="A86" s="17"/>
      <c r="B86" s="365"/>
      <c r="C86" s="359"/>
      <c r="D86" s="41" t="s">
        <v>38</v>
      </c>
      <c r="E86" s="42"/>
      <c r="F86" s="286"/>
      <c r="G86" s="42"/>
      <c r="H86" s="286"/>
      <c r="I86" s="43"/>
      <c r="J86" s="43"/>
      <c r="K86" s="43"/>
      <c r="L86" s="44"/>
      <c r="M86" s="44"/>
      <c r="N86" s="45"/>
      <c r="O86" s="46">
        <f>SUM(O80:O85)</f>
        <v>59389.360000000197</v>
      </c>
    </row>
    <row r="87" spans="1:15" ht="60" customHeight="1" thickBot="1" x14ac:dyDescent="0.55000000000000004">
      <c r="A87" s="22"/>
      <c r="B87" s="279"/>
      <c r="C87" s="278"/>
      <c r="D87" s="60"/>
      <c r="E87" s="61"/>
      <c r="F87" s="286"/>
      <c r="G87" s="61"/>
      <c r="H87" s="286"/>
      <c r="I87" s="60"/>
      <c r="J87" s="60"/>
      <c r="K87" s="60"/>
      <c r="L87" s="62"/>
      <c r="M87" s="62"/>
      <c r="N87" s="63"/>
      <c r="O87" s="64"/>
    </row>
    <row r="88" spans="1:15" ht="60" customHeight="1" thickBot="1" x14ac:dyDescent="0.35">
      <c r="A88" s="8" t="s">
        <v>3</v>
      </c>
      <c r="B88" s="9" t="s">
        <v>0</v>
      </c>
      <c r="C88" s="11" t="s">
        <v>1</v>
      </c>
      <c r="D88" s="32" t="s">
        <v>34</v>
      </c>
      <c r="E88" s="11" t="s">
        <v>198</v>
      </c>
      <c r="F88" s="286" t="s">
        <v>199</v>
      </c>
      <c r="G88" s="11" t="s">
        <v>197</v>
      </c>
      <c r="H88" s="286" t="s">
        <v>184</v>
      </c>
      <c r="I88" s="10" t="s">
        <v>2</v>
      </c>
      <c r="J88" s="10" t="s">
        <v>39</v>
      </c>
      <c r="K88" s="11" t="s">
        <v>40</v>
      </c>
      <c r="L88" s="13" t="s">
        <v>14</v>
      </c>
      <c r="M88" s="14" t="s">
        <v>15</v>
      </c>
      <c r="N88" s="15" t="s">
        <v>11</v>
      </c>
      <c r="O88" s="16" t="s">
        <v>76</v>
      </c>
    </row>
    <row r="89" spans="1:15" ht="60" customHeight="1" thickBot="1" x14ac:dyDescent="0.55000000000000004">
      <c r="A89" s="17">
        <v>1</v>
      </c>
      <c r="B89" s="363" t="s">
        <v>48</v>
      </c>
      <c r="C89" s="357">
        <v>205</v>
      </c>
      <c r="D89" s="52" t="s">
        <v>35</v>
      </c>
      <c r="E89" s="262">
        <v>5278.1</v>
      </c>
      <c r="F89" s="286">
        <v>46163</v>
      </c>
      <c r="G89" s="262">
        <v>5338.4</v>
      </c>
      <c r="H89" s="286">
        <v>46197</v>
      </c>
      <c r="I89" s="34">
        <f>G89-E89</f>
        <v>60.299999999999272</v>
      </c>
      <c r="J89" s="34"/>
      <c r="K89" s="34">
        <v>257</v>
      </c>
      <c r="L89" s="360">
        <v>-404.47</v>
      </c>
      <c r="M89" s="36">
        <f t="shared" ref="M89:M94" si="9">I89*K89+J89</f>
        <v>15497.099999999813</v>
      </c>
      <c r="N89" s="37"/>
      <c r="O89" s="38">
        <f>M89-N89</f>
        <v>15497.099999999813</v>
      </c>
    </row>
    <row r="90" spans="1:15" ht="60" customHeight="1" thickBot="1" x14ac:dyDescent="0.55000000000000004">
      <c r="A90" s="17"/>
      <c r="B90" s="364"/>
      <c r="C90" s="358"/>
      <c r="D90" s="21" t="s">
        <v>36</v>
      </c>
      <c r="E90" s="261">
        <v>928</v>
      </c>
      <c r="F90" s="286">
        <v>46163</v>
      </c>
      <c r="G90" s="261">
        <v>950</v>
      </c>
      <c r="H90" s="286">
        <v>46197</v>
      </c>
      <c r="I90" s="34">
        <f>G90-E90</f>
        <v>22</v>
      </c>
      <c r="J90" s="34">
        <v>1000</v>
      </c>
      <c r="K90" s="20">
        <v>1200</v>
      </c>
      <c r="L90" s="361"/>
      <c r="M90" s="36">
        <f t="shared" si="9"/>
        <v>27400</v>
      </c>
      <c r="N90" s="19"/>
      <c r="O90" s="38">
        <f>L90+M90-N90</f>
        <v>27400</v>
      </c>
    </row>
    <row r="91" spans="1:15" ht="60" customHeight="1" thickBot="1" x14ac:dyDescent="0.55000000000000004">
      <c r="A91" s="17"/>
      <c r="B91" s="364"/>
      <c r="C91" s="358"/>
      <c r="D91" s="53" t="s">
        <v>37</v>
      </c>
      <c r="E91" s="40">
        <v>0</v>
      </c>
      <c r="F91" s="286">
        <v>46163</v>
      </c>
      <c r="G91" s="40">
        <v>0</v>
      </c>
      <c r="H91" s="286">
        <v>46197</v>
      </c>
      <c r="I91" s="39">
        <v>1</v>
      </c>
      <c r="J91" s="39"/>
      <c r="K91" s="39">
        <v>25000</v>
      </c>
      <c r="L91" s="361"/>
      <c r="M91" s="36">
        <f t="shared" si="9"/>
        <v>25000</v>
      </c>
      <c r="N91" s="23"/>
      <c r="O91" s="38">
        <f>L91+M91-N91</f>
        <v>25000</v>
      </c>
    </row>
    <row r="92" spans="1:15" ht="60" customHeight="1" thickBot="1" x14ac:dyDescent="0.55000000000000004">
      <c r="A92" s="17"/>
      <c r="B92" s="364"/>
      <c r="C92" s="358"/>
      <c r="D92" s="59" t="s">
        <v>42</v>
      </c>
      <c r="E92" s="56"/>
      <c r="F92" s="286"/>
      <c r="G92" s="56"/>
      <c r="H92" s="286"/>
      <c r="I92" s="55"/>
      <c r="J92" s="55"/>
      <c r="K92" s="55">
        <v>0</v>
      </c>
      <c r="L92" s="361"/>
      <c r="M92" s="36">
        <f t="shared" si="9"/>
        <v>0</v>
      </c>
      <c r="N92" s="58"/>
      <c r="O92" s="38">
        <f>L92+M92-N92</f>
        <v>0</v>
      </c>
    </row>
    <row r="93" spans="1:15" ht="60" customHeight="1" thickBot="1" x14ac:dyDescent="0.55000000000000004">
      <c r="A93" s="17"/>
      <c r="B93" s="364"/>
      <c r="C93" s="358"/>
      <c r="D93" s="52" t="s">
        <v>85</v>
      </c>
      <c r="E93" s="35"/>
      <c r="F93" s="286"/>
      <c r="G93" s="35"/>
      <c r="H93" s="286"/>
      <c r="I93" s="55">
        <v>1</v>
      </c>
      <c r="J93" s="34"/>
      <c r="K93" s="34">
        <v>2000</v>
      </c>
      <c r="L93" s="361"/>
      <c r="M93" s="36">
        <f t="shared" si="9"/>
        <v>2000</v>
      </c>
      <c r="N93" s="37"/>
      <c r="O93" s="38">
        <f>L93+M93-N93</f>
        <v>2000</v>
      </c>
    </row>
    <row r="94" spans="1:15" ht="60" customHeight="1" thickBot="1" x14ac:dyDescent="0.55000000000000004">
      <c r="A94" s="17"/>
      <c r="B94" s="364"/>
      <c r="C94" s="358"/>
      <c r="D94" s="59" t="s">
        <v>14</v>
      </c>
      <c r="E94" s="56"/>
      <c r="F94" s="286"/>
      <c r="G94" s="56"/>
      <c r="H94" s="286"/>
      <c r="I94" s="55"/>
      <c r="J94" s="55"/>
      <c r="K94" s="55"/>
      <c r="L94" s="362"/>
      <c r="M94" s="36">
        <f t="shared" si="9"/>
        <v>0</v>
      </c>
      <c r="N94" s="58"/>
      <c r="O94" s="38">
        <f>L89</f>
        <v>-404.47</v>
      </c>
    </row>
    <row r="95" spans="1:15" ht="60" customHeight="1" thickBot="1" x14ac:dyDescent="0.55000000000000004">
      <c r="A95" s="17"/>
      <c r="B95" s="365"/>
      <c r="C95" s="359"/>
      <c r="D95" s="41" t="s">
        <v>38</v>
      </c>
      <c r="E95" s="42"/>
      <c r="F95" s="286"/>
      <c r="G95" s="42"/>
      <c r="H95" s="286"/>
      <c r="I95" s="43"/>
      <c r="J95" s="43"/>
      <c r="K95" s="43"/>
      <c r="L95" s="44"/>
      <c r="M95" s="44"/>
      <c r="N95" s="45"/>
      <c r="O95" s="46">
        <f>SUM(O89:O94)</f>
        <v>69492.629999999815</v>
      </c>
    </row>
    <row r="96" spans="1:15" ht="60" customHeight="1" thickBot="1" x14ac:dyDescent="0.55000000000000004">
      <c r="A96" s="22"/>
      <c r="B96" s="279"/>
      <c r="C96" s="278"/>
      <c r="D96" s="60"/>
      <c r="E96" s="61"/>
      <c r="F96" s="286"/>
      <c r="G96" s="61"/>
      <c r="H96" s="286"/>
      <c r="I96" s="60"/>
      <c r="J96" s="60"/>
      <c r="K96" s="60"/>
      <c r="L96" s="62"/>
      <c r="M96" s="62"/>
      <c r="N96" s="63"/>
      <c r="O96" s="64"/>
    </row>
    <row r="97" spans="1:15" ht="60" customHeight="1" thickBot="1" x14ac:dyDescent="0.35">
      <c r="A97" s="8" t="s">
        <v>3</v>
      </c>
      <c r="B97" s="9" t="s">
        <v>0</v>
      </c>
      <c r="C97" s="11" t="s">
        <v>1</v>
      </c>
      <c r="D97" s="32" t="s">
        <v>34</v>
      </c>
      <c r="E97" s="11" t="s">
        <v>198</v>
      </c>
      <c r="F97" s="286" t="s">
        <v>199</v>
      </c>
      <c r="G97" s="11" t="s">
        <v>197</v>
      </c>
      <c r="H97" s="286" t="s">
        <v>184</v>
      </c>
      <c r="I97" s="10" t="s">
        <v>2</v>
      </c>
      <c r="J97" s="10" t="s">
        <v>39</v>
      </c>
      <c r="K97" s="11" t="s">
        <v>40</v>
      </c>
      <c r="L97" s="13" t="s">
        <v>14</v>
      </c>
      <c r="M97" s="14" t="s">
        <v>15</v>
      </c>
      <c r="N97" s="15" t="s">
        <v>11</v>
      </c>
      <c r="O97" s="16" t="s">
        <v>76</v>
      </c>
    </row>
    <row r="98" spans="1:15" ht="60" customHeight="1" thickBot="1" x14ac:dyDescent="0.55000000000000004">
      <c r="A98" s="17">
        <v>1</v>
      </c>
      <c r="B98" s="354" t="s">
        <v>4</v>
      </c>
      <c r="C98" s="357">
        <v>301</v>
      </c>
      <c r="D98" s="52" t="s">
        <v>35</v>
      </c>
      <c r="E98" s="262">
        <v>1352.42</v>
      </c>
      <c r="F98" s="286">
        <v>46163</v>
      </c>
      <c r="G98" s="262">
        <v>1358.37</v>
      </c>
      <c r="H98" s="286">
        <v>46197</v>
      </c>
      <c r="I98" s="34">
        <f>G98-E98</f>
        <v>5.9499999999998181</v>
      </c>
      <c r="J98" s="34"/>
      <c r="K98" s="34">
        <v>257</v>
      </c>
      <c r="L98" s="360">
        <v>150321.68</v>
      </c>
      <c r="M98" s="36">
        <f t="shared" ref="M98:M103" si="10">I98*K98+J98</f>
        <v>1529.1499999999533</v>
      </c>
      <c r="N98" s="37"/>
      <c r="O98" s="38">
        <f>M98-N98</f>
        <v>1529.1499999999533</v>
      </c>
    </row>
    <row r="99" spans="1:15" ht="60" customHeight="1" thickBot="1" x14ac:dyDescent="0.55000000000000004">
      <c r="A99" s="17"/>
      <c r="B99" s="355"/>
      <c r="C99" s="358"/>
      <c r="D99" s="21" t="s">
        <v>36</v>
      </c>
      <c r="E99" s="261">
        <v>497</v>
      </c>
      <c r="F99" s="286">
        <v>46163</v>
      </c>
      <c r="G99" s="261">
        <v>504</v>
      </c>
      <c r="H99" s="286">
        <v>46197</v>
      </c>
      <c r="I99" s="34">
        <f>G99-E99</f>
        <v>7</v>
      </c>
      <c r="J99" s="34">
        <v>1000</v>
      </c>
      <c r="K99" s="20">
        <v>1200</v>
      </c>
      <c r="L99" s="361"/>
      <c r="M99" s="36">
        <f t="shared" si="10"/>
        <v>9400</v>
      </c>
      <c r="N99" s="19"/>
      <c r="O99" s="38">
        <f>L99+M99-N99</f>
        <v>9400</v>
      </c>
    </row>
    <row r="100" spans="1:15" ht="60" customHeight="1" thickBot="1" x14ac:dyDescent="0.55000000000000004">
      <c r="A100" s="17"/>
      <c r="B100" s="355"/>
      <c r="C100" s="358"/>
      <c r="D100" s="53" t="s">
        <v>37</v>
      </c>
      <c r="E100" s="40">
        <v>0</v>
      </c>
      <c r="F100" s="286">
        <v>46163</v>
      </c>
      <c r="G100" s="40">
        <v>0</v>
      </c>
      <c r="H100" s="286">
        <v>46197</v>
      </c>
      <c r="I100" s="39">
        <v>1</v>
      </c>
      <c r="J100" s="39"/>
      <c r="K100" s="39">
        <v>25000</v>
      </c>
      <c r="L100" s="361"/>
      <c r="M100" s="36">
        <f t="shared" si="10"/>
        <v>25000</v>
      </c>
      <c r="N100" s="23"/>
      <c r="O100" s="38">
        <f>L100+M100-N100</f>
        <v>25000</v>
      </c>
    </row>
    <row r="101" spans="1:15" ht="60" customHeight="1" thickBot="1" x14ac:dyDescent="0.55000000000000004">
      <c r="A101" s="17"/>
      <c r="B101" s="355"/>
      <c r="C101" s="358"/>
      <c r="D101" s="59" t="s">
        <v>42</v>
      </c>
      <c r="E101" s="56"/>
      <c r="F101" s="286"/>
      <c r="G101" s="56"/>
      <c r="H101" s="286"/>
      <c r="I101" s="55"/>
      <c r="J101" s="55"/>
      <c r="K101" s="55">
        <v>0</v>
      </c>
      <c r="L101" s="361"/>
      <c r="M101" s="36">
        <f t="shared" si="10"/>
        <v>0</v>
      </c>
      <c r="N101" s="58"/>
      <c r="O101" s="38">
        <f>L101+M101-N101</f>
        <v>0</v>
      </c>
    </row>
    <row r="102" spans="1:15" ht="60" customHeight="1" thickBot="1" x14ac:dyDescent="0.55000000000000004">
      <c r="A102" s="17"/>
      <c r="B102" s="355"/>
      <c r="C102" s="358"/>
      <c r="D102" s="52" t="s">
        <v>85</v>
      </c>
      <c r="E102" s="35"/>
      <c r="F102" s="286"/>
      <c r="G102" s="35"/>
      <c r="H102" s="286"/>
      <c r="I102" s="55">
        <v>1</v>
      </c>
      <c r="J102" s="34"/>
      <c r="K102" s="34">
        <v>2000</v>
      </c>
      <c r="L102" s="361"/>
      <c r="M102" s="36">
        <f t="shared" si="10"/>
        <v>2000</v>
      </c>
      <c r="N102" s="37"/>
      <c r="O102" s="38">
        <f>L102+M102-N102</f>
        <v>2000</v>
      </c>
    </row>
    <row r="103" spans="1:15" ht="60" customHeight="1" thickBot="1" x14ac:dyDescent="0.55000000000000004">
      <c r="A103" s="17"/>
      <c r="B103" s="355"/>
      <c r="C103" s="358"/>
      <c r="D103" s="59" t="s">
        <v>14</v>
      </c>
      <c r="E103" s="56"/>
      <c r="F103" s="286"/>
      <c r="G103" s="56"/>
      <c r="H103" s="286"/>
      <c r="I103" s="55"/>
      <c r="J103" s="55"/>
      <c r="K103" s="55"/>
      <c r="L103" s="362"/>
      <c r="M103" s="36">
        <f t="shared" si="10"/>
        <v>0</v>
      </c>
      <c r="N103" s="58"/>
      <c r="O103" s="38">
        <f>L98</f>
        <v>150321.68</v>
      </c>
    </row>
    <row r="104" spans="1:15" ht="60" customHeight="1" thickBot="1" x14ac:dyDescent="0.55000000000000004">
      <c r="A104" s="17"/>
      <c r="B104" s="356"/>
      <c r="C104" s="359"/>
      <c r="D104" s="41" t="s">
        <v>38</v>
      </c>
      <c r="E104" s="42"/>
      <c r="F104" s="286"/>
      <c r="G104" s="42"/>
      <c r="H104" s="286"/>
      <c r="I104" s="43"/>
      <c r="J104" s="43"/>
      <c r="K104" s="43"/>
      <c r="L104" s="44"/>
      <c r="M104" s="44"/>
      <c r="N104" s="45"/>
      <c r="O104" s="46">
        <f>SUM(O98:O103)</f>
        <v>188250.82999999996</v>
      </c>
    </row>
    <row r="105" spans="1:15" ht="60" customHeight="1" thickBot="1" x14ac:dyDescent="0.55000000000000004">
      <c r="A105" s="22"/>
      <c r="B105" s="276"/>
      <c r="C105" s="278"/>
      <c r="D105" s="60"/>
      <c r="E105" s="61"/>
      <c r="F105" s="286"/>
      <c r="G105" s="61"/>
      <c r="H105" s="286"/>
      <c r="I105" s="60"/>
      <c r="J105" s="60"/>
      <c r="K105" s="60"/>
      <c r="L105" s="62"/>
      <c r="M105" s="62"/>
      <c r="N105" s="63"/>
      <c r="O105" s="64"/>
    </row>
    <row r="106" spans="1:15" ht="60" customHeight="1" thickBot="1" x14ac:dyDescent="0.35">
      <c r="A106" s="8" t="s">
        <v>3</v>
      </c>
      <c r="B106" s="9" t="s">
        <v>0</v>
      </c>
      <c r="C106" s="11" t="s">
        <v>1</v>
      </c>
      <c r="D106" s="32" t="s">
        <v>34</v>
      </c>
      <c r="E106" s="11" t="s">
        <v>198</v>
      </c>
      <c r="F106" s="286" t="s">
        <v>199</v>
      </c>
      <c r="G106" s="11" t="s">
        <v>197</v>
      </c>
      <c r="H106" s="286" t="s">
        <v>184</v>
      </c>
      <c r="I106" s="10" t="s">
        <v>2</v>
      </c>
      <c r="J106" s="10" t="s">
        <v>39</v>
      </c>
      <c r="K106" s="11" t="s">
        <v>40</v>
      </c>
      <c r="L106" s="13" t="s">
        <v>14</v>
      </c>
      <c r="M106" s="14" t="s">
        <v>15</v>
      </c>
      <c r="N106" s="15" t="s">
        <v>11</v>
      </c>
      <c r="O106" s="16" t="s">
        <v>76</v>
      </c>
    </row>
    <row r="107" spans="1:15" ht="60" customHeight="1" thickBot="1" x14ac:dyDescent="0.55000000000000004">
      <c r="A107" s="17">
        <v>1</v>
      </c>
      <c r="B107" s="366" t="s">
        <v>17</v>
      </c>
      <c r="C107" s="357">
        <v>302</v>
      </c>
      <c r="D107" s="52" t="s">
        <v>35</v>
      </c>
      <c r="E107" s="262">
        <v>212.16</v>
      </c>
      <c r="F107" s="286">
        <v>46163</v>
      </c>
      <c r="G107" s="262">
        <v>212.16</v>
      </c>
      <c r="H107" s="286">
        <v>46197</v>
      </c>
      <c r="I107" s="34">
        <f>G107-E107</f>
        <v>0</v>
      </c>
      <c r="J107" s="34"/>
      <c r="K107" s="34">
        <v>257</v>
      </c>
      <c r="L107" s="360">
        <v>414174.71</v>
      </c>
      <c r="M107" s="36">
        <f t="shared" ref="M107:M112" si="11">I107*K107+J107</f>
        <v>0</v>
      </c>
      <c r="N107" s="37"/>
      <c r="O107" s="38">
        <f>M107-N107</f>
        <v>0</v>
      </c>
    </row>
    <row r="108" spans="1:15" ht="60" customHeight="1" thickBot="1" x14ac:dyDescent="0.55000000000000004">
      <c r="A108" s="17"/>
      <c r="B108" s="367"/>
      <c r="C108" s="358"/>
      <c r="D108" s="21" t="s">
        <v>36</v>
      </c>
      <c r="E108" s="261">
        <v>102</v>
      </c>
      <c r="F108" s="286">
        <v>46163</v>
      </c>
      <c r="G108" s="261">
        <v>102</v>
      </c>
      <c r="H108" s="286">
        <v>46197</v>
      </c>
      <c r="I108" s="34">
        <f>G108-E108</f>
        <v>0</v>
      </c>
      <c r="J108" s="34"/>
      <c r="K108" s="20">
        <v>1200</v>
      </c>
      <c r="L108" s="361"/>
      <c r="M108" s="36">
        <f t="shared" si="11"/>
        <v>0</v>
      </c>
      <c r="N108" s="19"/>
      <c r="O108" s="38">
        <f>L108+M108-N108</f>
        <v>0</v>
      </c>
    </row>
    <row r="109" spans="1:15" ht="60" customHeight="1" thickBot="1" x14ac:dyDescent="0.55000000000000004">
      <c r="A109" s="17"/>
      <c r="B109" s="367"/>
      <c r="C109" s="358"/>
      <c r="D109" s="53" t="s">
        <v>37</v>
      </c>
      <c r="E109" s="40">
        <v>0</v>
      </c>
      <c r="F109" s="286">
        <v>46163</v>
      </c>
      <c r="G109" s="40">
        <v>0</v>
      </c>
      <c r="H109" s="286">
        <v>46197</v>
      </c>
      <c r="I109" s="39">
        <v>1</v>
      </c>
      <c r="J109" s="39"/>
      <c r="K109" s="39">
        <v>15000</v>
      </c>
      <c r="L109" s="361"/>
      <c r="M109" s="36">
        <f t="shared" si="11"/>
        <v>15000</v>
      </c>
      <c r="N109" s="23"/>
      <c r="O109" s="38">
        <f>L109+M109-N109</f>
        <v>15000</v>
      </c>
    </row>
    <row r="110" spans="1:15" ht="60" customHeight="1" thickBot="1" x14ac:dyDescent="0.55000000000000004">
      <c r="A110" s="17"/>
      <c r="B110" s="367"/>
      <c r="C110" s="358"/>
      <c r="D110" s="59" t="s">
        <v>42</v>
      </c>
      <c r="E110" s="56"/>
      <c r="F110" s="286"/>
      <c r="G110" s="56"/>
      <c r="H110" s="286"/>
      <c r="I110" s="55"/>
      <c r="J110" s="55"/>
      <c r="K110" s="55"/>
      <c r="L110" s="361"/>
      <c r="M110" s="36">
        <f t="shared" si="11"/>
        <v>0</v>
      </c>
      <c r="N110" s="58"/>
      <c r="O110" s="38">
        <f>L110+M110-N110</f>
        <v>0</v>
      </c>
    </row>
    <row r="111" spans="1:15" ht="60" customHeight="1" thickBot="1" x14ac:dyDescent="0.55000000000000004">
      <c r="A111" s="17"/>
      <c r="B111" s="367"/>
      <c r="C111" s="358"/>
      <c r="D111" s="52" t="s">
        <v>85</v>
      </c>
      <c r="E111" s="35"/>
      <c r="F111" s="286"/>
      <c r="G111" s="35"/>
      <c r="H111" s="286"/>
      <c r="I111" s="55">
        <v>0</v>
      </c>
      <c r="J111" s="34"/>
      <c r="K111" s="34">
        <v>2000</v>
      </c>
      <c r="L111" s="361"/>
      <c r="M111" s="36">
        <f t="shared" si="11"/>
        <v>0</v>
      </c>
      <c r="N111" s="37"/>
      <c r="O111" s="38">
        <f>L111+M111-N111</f>
        <v>0</v>
      </c>
    </row>
    <row r="112" spans="1:15" ht="60" customHeight="1" thickBot="1" x14ac:dyDescent="0.55000000000000004">
      <c r="A112" s="17"/>
      <c r="B112" s="367"/>
      <c r="C112" s="358"/>
      <c r="D112" s="59" t="s">
        <v>14</v>
      </c>
      <c r="E112" s="56"/>
      <c r="F112" s="286"/>
      <c r="G112" s="56"/>
      <c r="H112" s="286"/>
      <c r="I112" s="55"/>
      <c r="J112" s="55"/>
      <c r="K112" s="55"/>
      <c r="L112" s="362"/>
      <c r="M112" s="36">
        <f t="shared" si="11"/>
        <v>0</v>
      </c>
      <c r="N112" s="58"/>
      <c r="O112" s="38">
        <f>L107</f>
        <v>414174.71</v>
      </c>
    </row>
    <row r="113" spans="1:15" ht="60" customHeight="1" thickBot="1" x14ac:dyDescent="0.55000000000000004">
      <c r="A113" s="17"/>
      <c r="B113" s="368"/>
      <c r="C113" s="359"/>
      <c r="D113" s="41" t="s">
        <v>38</v>
      </c>
      <c r="E113" s="42"/>
      <c r="F113" s="286"/>
      <c r="G113" s="42"/>
      <c r="H113" s="286"/>
      <c r="I113" s="43"/>
      <c r="J113" s="43"/>
      <c r="K113" s="43"/>
      <c r="L113" s="44"/>
      <c r="M113" s="44"/>
      <c r="N113" s="45"/>
      <c r="O113" s="46">
        <f>SUM(O107:O112)</f>
        <v>429174.71</v>
      </c>
    </row>
    <row r="114" spans="1:15" ht="60" customHeight="1" thickBot="1" x14ac:dyDescent="0.55000000000000004">
      <c r="A114" s="22"/>
      <c r="B114" s="283"/>
      <c r="C114" s="278"/>
      <c r="D114" s="60"/>
      <c r="E114" s="61"/>
      <c r="F114" s="286"/>
      <c r="G114" s="61"/>
      <c r="H114" s="286"/>
      <c r="I114" s="60"/>
      <c r="J114" s="60"/>
      <c r="K114" s="60"/>
      <c r="L114" s="62"/>
      <c r="M114" s="62"/>
      <c r="N114" s="63"/>
      <c r="O114" s="64"/>
    </row>
    <row r="115" spans="1:15" ht="60" customHeight="1" thickBot="1" x14ac:dyDescent="0.35">
      <c r="A115" s="8" t="s">
        <v>3</v>
      </c>
      <c r="B115" s="9" t="s">
        <v>0</v>
      </c>
      <c r="C115" s="11" t="s">
        <v>1</v>
      </c>
      <c r="D115" s="32" t="s">
        <v>34</v>
      </c>
      <c r="E115" s="11" t="s">
        <v>198</v>
      </c>
      <c r="F115" s="286" t="s">
        <v>199</v>
      </c>
      <c r="G115" s="11" t="s">
        <v>197</v>
      </c>
      <c r="H115" s="286" t="s">
        <v>184</v>
      </c>
      <c r="I115" s="10" t="s">
        <v>2</v>
      </c>
      <c r="J115" s="10" t="s">
        <v>39</v>
      </c>
      <c r="K115" s="11" t="s">
        <v>40</v>
      </c>
      <c r="L115" s="13" t="s">
        <v>14</v>
      </c>
      <c r="M115" s="14" t="s">
        <v>15</v>
      </c>
      <c r="N115" s="15" t="s">
        <v>11</v>
      </c>
      <c r="O115" s="16" t="s">
        <v>76</v>
      </c>
    </row>
    <row r="116" spans="1:15" ht="60" customHeight="1" thickBot="1" x14ac:dyDescent="0.55000000000000004">
      <c r="A116" s="17">
        <v>1</v>
      </c>
      <c r="B116" s="354" t="s">
        <v>49</v>
      </c>
      <c r="C116" s="357">
        <v>303</v>
      </c>
      <c r="D116" s="52" t="s">
        <v>35</v>
      </c>
      <c r="E116" s="262">
        <v>6722.57</v>
      </c>
      <c r="F116" s="286">
        <v>46163</v>
      </c>
      <c r="G116" s="262">
        <v>6844.35</v>
      </c>
      <c r="H116" s="286">
        <v>46197</v>
      </c>
      <c r="I116" s="34">
        <f>G116-E116</f>
        <v>121.78000000000065</v>
      </c>
      <c r="J116" s="34"/>
      <c r="K116" s="34">
        <v>257</v>
      </c>
      <c r="L116" s="360">
        <v>89869.79</v>
      </c>
      <c r="M116" s="36">
        <f t="shared" ref="M116:M121" si="12">I116*K116+J116</f>
        <v>31297.460000000166</v>
      </c>
      <c r="N116" s="37"/>
      <c r="O116" s="38">
        <f>M116-N116</f>
        <v>31297.460000000166</v>
      </c>
    </row>
    <row r="117" spans="1:15" ht="32.25" customHeight="1" thickBot="1" x14ac:dyDescent="0.55000000000000004">
      <c r="A117" s="17"/>
      <c r="B117" s="355"/>
      <c r="C117" s="358"/>
      <c r="D117" s="21" t="s">
        <v>36</v>
      </c>
      <c r="E117" s="261">
        <v>308</v>
      </c>
      <c r="F117" s="286">
        <v>46163</v>
      </c>
      <c r="G117" s="261">
        <v>315</v>
      </c>
      <c r="H117" s="286">
        <v>46197</v>
      </c>
      <c r="I117" s="34">
        <f>G117-E117</f>
        <v>7</v>
      </c>
      <c r="J117" s="34">
        <v>1000</v>
      </c>
      <c r="K117" s="20">
        <v>1200</v>
      </c>
      <c r="L117" s="361"/>
      <c r="M117" s="36">
        <f t="shared" si="12"/>
        <v>9400</v>
      </c>
      <c r="N117" s="19"/>
      <c r="O117" s="38">
        <f>L117+M117-N117</f>
        <v>9400</v>
      </c>
    </row>
    <row r="118" spans="1:15" ht="42.75" customHeight="1" thickBot="1" x14ac:dyDescent="0.55000000000000004">
      <c r="A118" s="17"/>
      <c r="B118" s="355"/>
      <c r="C118" s="358"/>
      <c r="D118" s="53" t="s">
        <v>37</v>
      </c>
      <c r="E118" s="40">
        <v>0</v>
      </c>
      <c r="F118" s="286">
        <v>46163</v>
      </c>
      <c r="G118" s="40">
        <v>0</v>
      </c>
      <c r="H118" s="286">
        <v>46197</v>
      </c>
      <c r="I118" s="39">
        <v>1</v>
      </c>
      <c r="J118" s="39"/>
      <c r="K118" s="39">
        <v>25000</v>
      </c>
      <c r="L118" s="361"/>
      <c r="M118" s="36">
        <f t="shared" si="12"/>
        <v>25000</v>
      </c>
      <c r="N118" s="23"/>
      <c r="O118" s="38">
        <f>L118+M118-N118</f>
        <v>25000</v>
      </c>
    </row>
    <row r="119" spans="1:15" ht="60" customHeight="1" thickBot="1" x14ac:dyDescent="0.55000000000000004">
      <c r="A119" s="17"/>
      <c r="B119" s="355"/>
      <c r="C119" s="358"/>
      <c r="D119" s="59" t="s">
        <v>42</v>
      </c>
      <c r="E119" s="56"/>
      <c r="F119" s="286"/>
      <c r="G119" s="56"/>
      <c r="H119" s="286"/>
      <c r="I119" s="55"/>
      <c r="J119" s="55"/>
      <c r="K119" s="55">
        <v>0</v>
      </c>
      <c r="L119" s="361"/>
      <c r="M119" s="36">
        <f t="shared" si="12"/>
        <v>0</v>
      </c>
      <c r="N119" s="58"/>
      <c r="O119" s="38">
        <f>L119+M119-N119</f>
        <v>0</v>
      </c>
    </row>
    <row r="120" spans="1:15" ht="60" customHeight="1" thickBot="1" x14ac:dyDescent="0.55000000000000004">
      <c r="A120" s="17"/>
      <c r="B120" s="355"/>
      <c r="C120" s="358"/>
      <c r="D120" s="52" t="s">
        <v>85</v>
      </c>
      <c r="E120" s="35"/>
      <c r="F120" s="286"/>
      <c r="G120" s="35"/>
      <c r="H120" s="286"/>
      <c r="I120" s="55">
        <v>1</v>
      </c>
      <c r="J120" s="34"/>
      <c r="K120" s="34">
        <v>2000</v>
      </c>
      <c r="L120" s="361"/>
      <c r="M120" s="36">
        <f t="shared" si="12"/>
        <v>2000</v>
      </c>
      <c r="N120" s="37"/>
      <c r="O120" s="38">
        <f>L120+M120-N120</f>
        <v>2000</v>
      </c>
    </row>
    <row r="121" spans="1:15" ht="60" customHeight="1" thickBot="1" x14ac:dyDescent="0.55000000000000004">
      <c r="A121" s="17"/>
      <c r="B121" s="355"/>
      <c r="C121" s="358"/>
      <c r="D121" s="59" t="s">
        <v>14</v>
      </c>
      <c r="E121" s="56"/>
      <c r="F121" s="286"/>
      <c r="G121" s="56"/>
      <c r="H121" s="286"/>
      <c r="I121" s="55"/>
      <c r="J121" s="55"/>
      <c r="K121" s="55"/>
      <c r="L121" s="362"/>
      <c r="M121" s="36">
        <f t="shared" si="12"/>
        <v>0</v>
      </c>
      <c r="N121" s="58"/>
      <c r="O121" s="38">
        <f>L116</f>
        <v>89869.79</v>
      </c>
    </row>
    <row r="122" spans="1:15" ht="60" customHeight="1" thickBot="1" x14ac:dyDescent="0.55000000000000004">
      <c r="A122" s="17"/>
      <c r="B122" s="356"/>
      <c r="C122" s="359"/>
      <c r="D122" s="41" t="s">
        <v>38</v>
      </c>
      <c r="E122" s="42"/>
      <c r="F122" s="286"/>
      <c r="G122" s="42"/>
      <c r="H122" s="286"/>
      <c r="I122" s="43"/>
      <c r="J122" s="43"/>
      <c r="K122" s="43"/>
      <c r="L122" s="44"/>
      <c r="M122" s="44"/>
      <c r="N122" s="45"/>
      <c r="O122" s="46">
        <f>SUM(O116:O121)</f>
        <v>157567.25000000017</v>
      </c>
    </row>
    <row r="123" spans="1:15" ht="18" customHeight="1" thickBot="1" x14ac:dyDescent="0.55000000000000004">
      <c r="A123" s="22"/>
      <c r="B123" s="276"/>
      <c r="C123" s="278"/>
      <c r="D123" s="60"/>
      <c r="E123" s="61"/>
      <c r="F123" s="286"/>
      <c r="G123" s="61"/>
      <c r="H123" s="286"/>
      <c r="I123" s="60"/>
      <c r="J123" s="60"/>
      <c r="K123" s="60"/>
      <c r="L123" s="62"/>
      <c r="M123" s="62"/>
      <c r="N123" s="63"/>
      <c r="O123" s="64"/>
    </row>
    <row r="124" spans="1:15" ht="60" customHeight="1" thickBot="1" x14ac:dyDescent="0.35">
      <c r="A124" s="8" t="s">
        <v>3</v>
      </c>
      <c r="B124" s="9" t="s">
        <v>0</v>
      </c>
      <c r="C124" s="11" t="s">
        <v>1</v>
      </c>
      <c r="D124" s="32" t="s">
        <v>34</v>
      </c>
      <c r="E124" s="11" t="s">
        <v>198</v>
      </c>
      <c r="F124" s="286" t="s">
        <v>199</v>
      </c>
      <c r="G124" s="11" t="s">
        <v>197</v>
      </c>
      <c r="H124" s="286" t="s">
        <v>184</v>
      </c>
      <c r="I124" s="10" t="s">
        <v>2</v>
      </c>
      <c r="J124" s="10" t="s">
        <v>39</v>
      </c>
      <c r="K124" s="11" t="s">
        <v>40</v>
      </c>
      <c r="L124" s="13" t="s">
        <v>14</v>
      </c>
      <c r="M124" s="14" t="s">
        <v>15</v>
      </c>
      <c r="N124" s="15" t="s">
        <v>11</v>
      </c>
      <c r="O124" s="16" t="s">
        <v>76</v>
      </c>
    </row>
    <row r="125" spans="1:15" ht="60" customHeight="1" thickBot="1" x14ac:dyDescent="0.55000000000000004">
      <c r="A125" s="17">
        <v>1</v>
      </c>
      <c r="B125" s="354" t="s">
        <v>18</v>
      </c>
      <c r="C125" s="357">
        <v>304</v>
      </c>
      <c r="D125" s="52" t="s">
        <v>35</v>
      </c>
      <c r="E125" s="262">
        <v>5262.8</v>
      </c>
      <c r="F125" s="286">
        <v>46163</v>
      </c>
      <c r="G125" s="262">
        <v>5272.21</v>
      </c>
      <c r="H125" s="286">
        <v>46197</v>
      </c>
      <c r="I125" s="34">
        <f>G125-E125</f>
        <v>9.4099999999998545</v>
      </c>
      <c r="J125" s="34">
        <v>0</v>
      </c>
      <c r="K125" s="34">
        <v>257</v>
      </c>
      <c r="L125" s="360">
        <v>517091.49</v>
      </c>
      <c r="M125" s="36">
        <f t="shared" ref="M125:M130" si="13">I125*K125+J125</f>
        <v>2418.3699999999626</v>
      </c>
      <c r="N125" s="37">
        <v>0</v>
      </c>
      <c r="O125" s="38">
        <f>M125-N125</f>
        <v>2418.3699999999626</v>
      </c>
    </row>
    <row r="126" spans="1:15" ht="60" customHeight="1" thickBot="1" x14ac:dyDescent="0.55000000000000004">
      <c r="A126" s="17"/>
      <c r="B126" s="355"/>
      <c r="C126" s="358"/>
      <c r="D126" s="21" t="s">
        <v>36</v>
      </c>
      <c r="E126" s="261">
        <v>493</v>
      </c>
      <c r="F126" s="286">
        <v>46163</v>
      </c>
      <c r="G126" s="261">
        <v>493</v>
      </c>
      <c r="H126" s="286">
        <v>46197</v>
      </c>
      <c r="I126" s="34">
        <f>G126-E126</f>
        <v>0</v>
      </c>
      <c r="J126" s="34">
        <v>0</v>
      </c>
      <c r="K126" s="20">
        <v>1200</v>
      </c>
      <c r="L126" s="361"/>
      <c r="M126" s="36">
        <f t="shared" si="13"/>
        <v>0</v>
      </c>
      <c r="N126" s="19">
        <v>0</v>
      </c>
      <c r="O126" s="38">
        <f>L126+M126-N126</f>
        <v>0</v>
      </c>
    </row>
    <row r="127" spans="1:15" ht="60" customHeight="1" thickBot="1" x14ac:dyDescent="0.55000000000000004">
      <c r="A127" s="17"/>
      <c r="B127" s="355"/>
      <c r="C127" s="358"/>
      <c r="D127" s="53" t="s">
        <v>37</v>
      </c>
      <c r="E127" s="40">
        <v>0</v>
      </c>
      <c r="F127" s="286">
        <v>46163</v>
      </c>
      <c r="G127" s="40">
        <v>0</v>
      </c>
      <c r="H127" s="286">
        <v>46197</v>
      </c>
      <c r="I127" s="39">
        <v>1</v>
      </c>
      <c r="J127" s="39"/>
      <c r="K127" s="39">
        <v>15000</v>
      </c>
      <c r="L127" s="361"/>
      <c r="M127" s="36">
        <f t="shared" si="13"/>
        <v>15000</v>
      </c>
      <c r="N127" s="23">
        <v>0</v>
      </c>
      <c r="O127" s="38">
        <f>L127+M127-N127</f>
        <v>15000</v>
      </c>
    </row>
    <row r="128" spans="1:15" ht="60" customHeight="1" thickBot="1" x14ac:dyDescent="0.55000000000000004">
      <c r="A128" s="17"/>
      <c r="B128" s="355"/>
      <c r="C128" s="358"/>
      <c r="D128" s="59" t="s">
        <v>42</v>
      </c>
      <c r="E128" s="56"/>
      <c r="F128" s="286"/>
      <c r="G128" s="56"/>
      <c r="H128" s="286"/>
      <c r="I128" s="55"/>
      <c r="J128" s="55"/>
      <c r="K128" s="55"/>
      <c r="L128" s="361"/>
      <c r="M128" s="36">
        <f t="shared" si="13"/>
        <v>0</v>
      </c>
      <c r="N128" s="58"/>
      <c r="O128" s="38">
        <f>L128+M128-N128</f>
        <v>0</v>
      </c>
    </row>
    <row r="129" spans="1:15" ht="60" customHeight="1" thickBot="1" x14ac:dyDescent="0.55000000000000004">
      <c r="A129" s="17"/>
      <c r="B129" s="355"/>
      <c r="C129" s="358"/>
      <c r="D129" s="52" t="s">
        <v>85</v>
      </c>
      <c r="E129" s="35"/>
      <c r="F129" s="286"/>
      <c r="G129" s="35"/>
      <c r="H129" s="286"/>
      <c r="I129" s="55">
        <v>1</v>
      </c>
      <c r="J129" s="34"/>
      <c r="K129" s="34">
        <v>2000</v>
      </c>
      <c r="L129" s="361"/>
      <c r="M129" s="36">
        <f t="shared" si="13"/>
        <v>2000</v>
      </c>
      <c r="N129" s="37"/>
      <c r="O129" s="38">
        <f>L129+M129-N129</f>
        <v>2000</v>
      </c>
    </row>
    <row r="130" spans="1:15" ht="60" customHeight="1" thickBot="1" x14ac:dyDescent="0.55000000000000004">
      <c r="A130" s="17"/>
      <c r="B130" s="355"/>
      <c r="C130" s="358"/>
      <c r="D130" s="59" t="s">
        <v>14</v>
      </c>
      <c r="E130" s="56"/>
      <c r="F130" s="286"/>
      <c r="G130" s="56"/>
      <c r="H130" s="286"/>
      <c r="I130" s="55"/>
      <c r="J130" s="55"/>
      <c r="K130" s="55"/>
      <c r="L130" s="362"/>
      <c r="M130" s="36">
        <f t="shared" si="13"/>
        <v>0</v>
      </c>
      <c r="N130" s="58"/>
      <c r="O130" s="38">
        <f>L125</f>
        <v>517091.49</v>
      </c>
    </row>
    <row r="131" spans="1:15" ht="60" customHeight="1" thickBot="1" x14ac:dyDescent="0.55000000000000004">
      <c r="A131" s="17"/>
      <c r="B131" s="356"/>
      <c r="C131" s="359"/>
      <c r="D131" s="41" t="s">
        <v>38</v>
      </c>
      <c r="E131" s="42"/>
      <c r="F131" s="286"/>
      <c r="G131" s="42"/>
      <c r="H131" s="286"/>
      <c r="I131" s="43"/>
      <c r="J131" s="43"/>
      <c r="K131" s="43"/>
      <c r="L131" s="44"/>
      <c r="M131" s="44"/>
      <c r="N131" s="45"/>
      <c r="O131" s="46">
        <f>SUM(O125:O130)</f>
        <v>536509.86</v>
      </c>
    </row>
    <row r="132" spans="1:15" ht="60" customHeight="1" thickBot="1" x14ac:dyDescent="0.55000000000000004">
      <c r="A132" s="24"/>
      <c r="B132" s="20"/>
      <c r="C132" s="20"/>
      <c r="D132" s="20"/>
      <c r="E132" s="21"/>
      <c r="F132" s="286"/>
      <c r="G132" s="21"/>
      <c r="H132" s="286"/>
      <c r="I132" s="20"/>
      <c r="J132" s="20"/>
      <c r="K132" s="20"/>
      <c r="L132" s="20"/>
      <c r="M132" s="29"/>
      <c r="N132" s="19"/>
      <c r="O132" s="30"/>
    </row>
    <row r="133" spans="1:15" ht="60" customHeight="1" thickBot="1" x14ac:dyDescent="0.35">
      <c r="A133" s="8" t="s">
        <v>3</v>
      </c>
      <c r="B133" s="9" t="s">
        <v>0</v>
      </c>
      <c r="C133" s="11" t="s">
        <v>1</v>
      </c>
      <c r="D133" s="32" t="s">
        <v>34</v>
      </c>
      <c r="E133" s="11" t="s">
        <v>198</v>
      </c>
      <c r="F133" s="286" t="s">
        <v>199</v>
      </c>
      <c r="G133" s="11" t="s">
        <v>197</v>
      </c>
      <c r="H133" s="286" t="s">
        <v>184</v>
      </c>
      <c r="I133" s="10" t="s">
        <v>2</v>
      </c>
      <c r="J133" s="10" t="s">
        <v>39</v>
      </c>
      <c r="K133" s="11" t="s">
        <v>40</v>
      </c>
      <c r="L133" s="13" t="s">
        <v>14</v>
      </c>
      <c r="M133" s="14" t="s">
        <v>15</v>
      </c>
      <c r="N133" s="15" t="s">
        <v>11</v>
      </c>
      <c r="O133" s="16" t="s">
        <v>76</v>
      </c>
    </row>
    <row r="134" spans="1:15" ht="60" customHeight="1" thickBot="1" x14ac:dyDescent="0.55000000000000004">
      <c r="A134" s="17">
        <v>1</v>
      </c>
      <c r="B134" s="363" t="s">
        <v>50</v>
      </c>
      <c r="C134" s="357">
        <v>305</v>
      </c>
      <c r="D134" s="52" t="s">
        <v>35</v>
      </c>
      <c r="E134" s="262">
        <v>3843.17</v>
      </c>
      <c r="F134" s="286">
        <v>46163</v>
      </c>
      <c r="G134" s="262">
        <v>3843.37</v>
      </c>
      <c r="H134" s="286">
        <v>46197</v>
      </c>
      <c r="I134" s="34">
        <f>G134-E134</f>
        <v>0.1999999999998181</v>
      </c>
      <c r="J134" s="34"/>
      <c r="K134" s="34">
        <v>257</v>
      </c>
      <c r="L134" s="360">
        <v>30273.1</v>
      </c>
      <c r="M134" s="36">
        <f t="shared" ref="M134:M139" si="14">I134*K134+J134</f>
        <v>51.399999999953252</v>
      </c>
      <c r="N134" s="37">
        <v>0</v>
      </c>
      <c r="O134" s="38">
        <f>M134-N134</f>
        <v>51.399999999953252</v>
      </c>
    </row>
    <row r="135" spans="1:15" ht="60" customHeight="1" thickBot="1" x14ac:dyDescent="0.55000000000000004">
      <c r="A135" s="17"/>
      <c r="B135" s="364"/>
      <c r="C135" s="358"/>
      <c r="D135" s="21" t="s">
        <v>36</v>
      </c>
      <c r="E135" s="261">
        <v>416</v>
      </c>
      <c r="F135" s="286">
        <v>46163</v>
      </c>
      <c r="G135" s="261">
        <v>416</v>
      </c>
      <c r="H135" s="286">
        <v>46197</v>
      </c>
      <c r="I135" s="34">
        <f>G135-E135</f>
        <v>0</v>
      </c>
      <c r="J135" s="34">
        <v>0</v>
      </c>
      <c r="K135" s="20">
        <v>1200</v>
      </c>
      <c r="L135" s="361"/>
      <c r="M135" s="36">
        <f t="shared" si="14"/>
        <v>0</v>
      </c>
      <c r="N135" s="19">
        <v>0</v>
      </c>
      <c r="O135" s="38">
        <f>L135+M135-N135</f>
        <v>0</v>
      </c>
    </row>
    <row r="136" spans="1:15" ht="60" customHeight="1" thickBot="1" x14ac:dyDescent="0.55000000000000004">
      <c r="A136" s="17"/>
      <c r="B136" s="364"/>
      <c r="C136" s="358"/>
      <c r="D136" s="53" t="s">
        <v>37</v>
      </c>
      <c r="E136" s="40">
        <v>0</v>
      </c>
      <c r="F136" s="286">
        <v>46163</v>
      </c>
      <c r="G136" s="40">
        <v>0</v>
      </c>
      <c r="H136" s="286">
        <v>46197</v>
      </c>
      <c r="I136" s="39">
        <v>1</v>
      </c>
      <c r="J136" s="39"/>
      <c r="K136" s="39">
        <v>15000</v>
      </c>
      <c r="L136" s="361"/>
      <c r="M136" s="36">
        <f t="shared" si="14"/>
        <v>15000</v>
      </c>
      <c r="N136" s="23">
        <v>0</v>
      </c>
      <c r="O136" s="38">
        <f>L136+M136-N136</f>
        <v>15000</v>
      </c>
    </row>
    <row r="137" spans="1:15" ht="60" customHeight="1" thickBot="1" x14ac:dyDescent="0.55000000000000004">
      <c r="A137" s="17"/>
      <c r="B137" s="364"/>
      <c r="C137" s="358"/>
      <c r="D137" s="59" t="s">
        <v>42</v>
      </c>
      <c r="E137" s="56"/>
      <c r="F137" s="286"/>
      <c r="G137" s="56"/>
      <c r="H137" s="286"/>
      <c r="I137" s="55"/>
      <c r="J137" s="55"/>
      <c r="K137" s="55"/>
      <c r="L137" s="361"/>
      <c r="M137" s="36">
        <f t="shared" si="14"/>
        <v>0</v>
      </c>
      <c r="N137" s="58"/>
      <c r="O137" s="38">
        <f>L137+M137-N137</f>
        <v>0</v>
      </c>
    </row>
    <row r="138" spans="1:15" ht="60" customHeight="1" thickBot="1" x14ac:dyDescent="0.55000000000000004">
      <c r="A138" s="17"/>
      <c r="B138" s="364"/>
      <c r="C138" s="358"/>
      <c r="D138" s="52" t="s">
        <v>85</v>
      </c>
      <c r="E138" s="35"/>
      <c r="F138" s="286"/>
      <c r="G138" s="35"/>
      <c r="H138" s="286"/>
      <c r="I138" s="55">
        <v>1</v>
      </c>
      <c r="J138" s="34"/>
      <c r="K138" s="34">
        <v>2000</v>
      </c>
      <c r="L138" s="361"/>
      <c r="M138" s="36">
        <f t="shared" si="14"/>
        <v>2000</v>
      </c>
      <c r="N138" s="37"/>
      <c r="O138" s="38">
        <f>L138+M138-N138</f>
        <v>2000</v>
      </c>
    </row>
    <row r="139" spans="1:15" ht="60" customHeight="1" thickBot="1" x14ac:dyDescent="0.55000000000000004">
      <c r="A139" s="17"/>
      <c r="B139" s="364"/>
      <c r="C139" s="358"/>
      <c r="D139" s="59" t="s">
        <v>14</v>
      </c>
      <c r="E139" s="56"/>
      <c r="F139" s="286"/>
      <c r="G139" s="56"/>
      <c r="H139" s="286"/>
      <c r="I139" s="55"/>
      <c r="J139" s="55"/>
      <c r="K139" s="55"/>
      <c r="L139" s="362"/>
      <c r="M139" s="36">
        <f t="shared" si="14"/>
        <v>0</v>
      </c>
      <c r="N139" s="58"/>
      <c r="O139" s="38">
        <f>L134</f>
        <v>30273.1</v>
      </c>
    </row>
    <row r="140" spans="1:15" ht="60" customHeight="1" thickBot="1" x14ac:dyDescent="0.55000000000000004">
      <c r="A140" s="17"/>
      <c r="B140" s="365"/>
      <c r="C140" s="359"/>
      <c r="D140" s="41" t="s">
        <v>38</v>
      </c>
      <c r="E140" s="42"/>
      <c r="F140" s="286"/>
      <c r="G140" s="42"/>
      <c r="H140" s="286"/>
      <c r="I140" s="43"/>
      <c r="J140" s="43"/>
      <c r="K140" s="43"/>
      <c r="L140" s="44"/>
      <c r="M140" s="44"/>
      <c r="N140" s="45"/>
      <c r="O140" s="46">
        <f>SUM(O134:O139)</f>
        <v>47324.499999999956</v>
      </c>
    </row>
    <row r="141" spans="1:15" ht="60" customHeight="1" thickBot="1" x14ac:dyDescent="0.55000000000000004">
      <c r="A141" s="22"/>
      <c r="B141" s="279"/>
      <c r="C141" s="278"/>
      <c r="D141" s="60"/>
      <c r="E141" s="61"/>
      <c r="F141" s="286"/>
      <c r="G141" s="61"/>
      <c r="H141" s="286"/>
      <c r="I141" s="60"/>
      <c r="J141" s="60"/>
      <c r="K141" s="60"/>
      <c r="L141" s="62"/>
      <c r="M141" s="62"/>
      <c r="N141" s="63"/>
      <c r="O141" s="64"/>
    </row>
    <row r="142" spans="1:15" ht="60" customHeight="1" thickBot="1" x14ac:dyDescent="0.35">
      <c r="A142" s="8" t="s">
        <v>3</v>
      </c>
      <c r="B142" s="9" t="s">
        <v>0</v>
      </c>
      <c r="C142" s="11" t="s">
        <v>1</v>
      </c>
      <c r="D142" s="32" t="s">
        <v>34</v>
      </c>
      <c r="E142" s="11" t="s">
        <v>198</v>
      </c>
      <c r="F142" s="286" t="s">
        <v>199</v>
      </c>
      <c r="G142" s="11" t="s">
        <v>197</v>
      </c>
      <c r="H142" s="286" t="s">
        <v>184</v>
      </c>
      <c r="I142" s="10" t="s">
        <v>2</v>
      </c>
      <c r="J142" s="10" t="s">
        <v>39</v>
      </c>
      <c r="K142" s="11" t="s">
        <v>40</v>
      </c>
      <c r="L142" s="13" t="s">
        <v>14</v>
      </c>
      <c r="M142" s="14" t="s">
        <v>15</v>
      </c>
      <c r="N142" s="15" t="s">
        <v>11</v>
      </c>
      <c r="O142" s="16" t="s">
        <v>76</v>
      </c>
    </row>
    <row r="143" spans="1:15" ht="60" customHeight="1" thickBot="1" x14ac:dyDescent="0.55000000000000004">
      <c r="A143" s="17">
        <v>1</v>
      </c>
      <c r="B143" s="363" t="s">
        <v>51</v>
      </c>
      <c r="C143" s="357">
        <v>401</v>
      </c>
      <c r="D143" s="52" t="s">
        <v>35</v>
      </c>
      <c r="E143" s="262">
        <v>2966.19</v>
      </c>
      <c r="F143" s="286">
        <v>46163</v>
      </c>
      <c r="G143" s="262">
        <v>2968.26</v>
      </c>
      <c r="H143" s="286">
        <v>46197</v>
      </c>
      <c r="I143" s="34">
        <f>G143-E143</f>
        <v>2.0700000000001637</v>
      </c>
      <c r="J143" s="34"/>
      <c r="K143" s="34">
        <v>257</v>
      </c>
      <c r="L143" s="360">
        <v>0.6</v>
      </c>
      <c r="M143" s="36">
        <f t="shared" ref="M143:M148" si="15">I143*K143+J143</f>
        <v>531.99000000004207</v>
      </c>
      <c r="N143" s="37">
        <v>0</v>
      </c>
      <c r="O143" s="38">
        <f>M143-N143</f>
        <v>531.99000000004207</v>
      </c>
    </row>
    <row r="144" spans="1:15" ht="60" customHeight="1" thickBot="1" x14ac:dyDescent="0.55000000000000004">
      <c r="A144" s="17"/>
      <c r="B144" s="364"/>
      <c r="C144" s="358"/>
      <c r="D144" s="21" t="s">
        <v>36</v>
      </c>
      <c r="E144" s="261">
        <v>219</v>
      </c>
      <c r="F144" s="286">
        <v>46163</v>
      </c>
      <c r="G144" s="261">
        <v>219</v>
      </c>
      <c r="H144" s="286">
        <v>46197</v>
      </c>
      <c r="I144" s="34">
        <f>G144-E144</f>
        <v>0</v>
      </c>
      <c r="J144" s="34">
        <v>0</v>
      </c>
      <c r="K144" s="20">
        <v>1200</v>
      </c>
      <c r="L144" s="361"/>
      <c r="M144" s="36">
        <f t="shared" si="15"/>
        <v>0</v>
      </c>
      <c r="N144" s="19">
        <v>0</v>
      </c>
      <c r="O144" s="38">
        <f>L144+M144-N144</f>
        <v>0</v>
      </c>
    </row>
    <row r="145" spans="1:15" ht="60" customHeight="1" thickBot="1" x14ac:dyDescent="0.55000000000000004">
      <c r="A145" s="17"/>
      <c r="B145" s="364"/>
      <c r="C145" s="358"/>
      <c r="D145" s="53" t="s">
        <v>37</v>
      </c>
      <c r="E145" s="40">
        <v>0</v>
      </c>
      <c r="F145" s="286">
        <v>46163</v>
      </c>
      <c r="G145" s="40">
        <v>0</v>
      </c>
      <c r="H145" s="286">
        <v>46197</v>
      </c>
      <c r="I145" s="39">
        <v>1</v>
      </c>
      <c r="J145" s="39"/>
      <c r="K145" s="39">
        <v>15000</v>
      </c>
      <c r="L145" s="361"/>
      <c r="M145" s="36">
        <f t="shared" si="15"/>
        <v>15000</v>
      </c>
      <c r="N145" s="23">
        <v>0</v>
      </c>
      <c r="O145" s="38">
        <f>L145+M145-N145</f>
        <v>15000</v>
      </c>
    </row>
    <row r="146" spans="1:15" ht="60" customHeight="1" thickBot="1" x14ac:dyDescent="0.55000000000000004">
      <c r="A146" s="17"/>
      <c r="B146" s="364"/>
      <c r="C146" s="358"/>
      <c r="D146" s="59" t="s">
        <v>42</v>
      </c>
      <c r="E146" s="56"/>
      <c r="F146" s="286"/>
      <c r="G146" s="56"/>
      <c r="H146" s="286"/>
      <c r="I146" s="55"/>
      <c r="J146" s="55"/>
      <c r="K146" s="55">
        <v>0</v>
      </c>
      <c r="L146" s="361"/>
      <c r="M146" s="36">
        <f t="shared" si="15"/>
        <v>0</v>
      </c>
      <c r="N146" s="58"/>
      <c r="O146" s="38">
        <f>L146+M146-N146</f>
        <v>0</v>
      </c>
    </row>
    <row r="147" spans="1:15" ht="60" customHeight="1" thickBot="1" x14ac:dyDescent="0.55000000000000004">
      <c r="A147" s="17"/>
      <c r="B147" s="364"/>
      <c r="C147" s="358"/>
      <c r="D147" s="52" t="s">
        <v>85</v>
      </c>
      <c r="E147" s="35"/>
      <c r="F147" s="286"/>
      <c r="G147" s="35"/>
      <c r="H147" s="286"/>
      <c r="I147" s="55">
        <v>1</v>
      </c>
      <c r="J147" s="34"/>
      <c r="K147" s="34">
        <v>2000</v>
      </c>
      <c r="L147" s="361"/>
      <c r="M147" s="36">
        <f t="shared" si="15"/>
        <v>2000</v>
      </c>
      <c r="N147" s="37"/>
      <c r="O147" s="38">
        <f>L147+M147-N147</f>
        <v>2000</v>
      </c>
    </row>
    <row r="148" spans="1:15" ht="60" customHeight="1" thickBot="1" x14ac:dyDescent="0.55000000000000004">
      <c r="A148" s="17"/>
      <c r="B148" s="364"/>
      <c r="C148" s="358"/>
      <c r="D148" s="59" t="s">
        <v>14</v>
      </c>
      <c r="E148" s="56"/>
      <c r="F148" s="286"/>
      <c r="G148" s="56"/>
      <c r="H148" s="286"/>
      <c r="I148" s="55"/>
      <c r="J148" s="55"/>
      <c r="K148" s="55"/>
      <c r="L148" s="362"/>
      <c r="M148" s="36">
        <f t="shared" si="15"/>
        <v>0</v>
      </c>
      <c r="N148" s="58"/>
      <c r="O148" s="38">
        <f>L143</f>
        <v>0.6</v>
      </c>
    </row>
    <row r="149" spans="1:15" ht="60" customHeight="1" thickBot="1" x14ac:dyDescent="0.55000000000000004">
      <c r="A149" s="17"/>
      <c r="B149" s="365"/>
      <c r="C149" s="359"/>
      <c r="D149" s="41" t="s">
        <v>38</v>
      </c>
      <c r="E149" s="42"/>
      <c r="F149" s="286"/>
      <c r="G149" s="42"/>
      <c r="H149" s="286"/>
      <c r="I149" s="43"/>
      <c r="J149" s="43"/>
      <c r="K149" s="43"/>
      <c r="L149" s="44"/>
      <c r="M149" s="44"/>
      <c r="N149" s="45"/>
      <c r="O149" s="46">
        <f>SUM(O143:O148)</f>
        <v>17532.59000000004</v>
      </c>
    </row>
    <row r="150" spans="1:15" ht="60" customHeight="1" thickBot="1" x14ac:dyDescent="0.55000000000000004">
      <c r="A150" s="22"/>
      <c r="B150" s="279"/>
      <c r="C150" s="278"/>
      <c r="D150" s="60"/>
      <c r="E150" s="61"/>
      <c r="F150" s="286"/>
      <c r="G150" s="61"/>
      <c r="H150" s="286"/>
      <c r="I150" s="60"/>
      <c r="J150" s="60"/>
      <c r="K150" s="60"/>
      <c r="L150" s="62"/>
      <c r="M150" s="62"/>
      <c r="N150" s="63"/>
      <c r="O150" s="64"/>
    </row>
    <row r="151" spans="1:15" ht="60" customHeight="1" thickBot="1" x14ac:dyDescent="0.35">
      <c r="A151" s="8" t="s">
        <v>3</v>
      </c>
      <c r="B151" s="9" t="s">
        <v>0</v>
      </c>
      <c r="C151" s="11" t="s">
        <v>1</v>
      </c>
      <c r="D151" s="32" t="s">
        <v>34</v>
      </c>
      <c r="E151" s="11" t="s">
        <v>198</v>
      </c>
      <c r="F151" s="286" t="s">
        <v>199</v>
      </c>
      <c r="G151" s="11" t="s">
        <v>197</v>
      </c>
      <c r="H151" s="286" t="s">
        <v>184</v>
      </c>
      <c r="I151" s="10" t="s">
        <v>2</v>
      </c>
      <c r="J151" s="10" t="s">
        <v>39</v>
      </c>
      <c r="K151" s="11" t="s">
        <v>40</v>
      </c>
      <c r="L151" s="13" t="s">
        <v>14</v>
      </c>
      <c r="M151" s="14" t="s">
        <v>15</v>
      </c>
      <c r="N151" s="15" t="s">
        <v>11</v>
      </c>
      <c r="O151" s="16" t="s">
        <v>76</v>
      </c>
    </row>
    <row r="152" spans="1:15" ht="60" customHeight="1" thickBot="1" x14ac:dyDescent="0.55000000000000004">
      <c r="A152" s="17">
        <v>1</v>
      </c>
      <c r="B152" s="369" t="s">
        <v>52</v>
      </c>
      <c r="C152" s="357">
        <v>402</v>
      </c>
      <c r="D152" s="52" t="s">
        <v>35</v>
      </c>
      <c r="E152" s="262">
        <v>6422.4</v>
      </c>
      <c r="F152" s="286">
        <v>46163</v>
      </c>
      <c r="G152" s="262">
        <v>6425.59</v>
      </c>
      <c r="H152" s="286">
        <v>46197</v>
      </c>
      <c r="I152" s="34">
        <f>G152-E152</f>
        <v>3.1900000000005093</v>
      </c>
      <c r="J152" s="34"/>
      <c r="K152" s="34">
        <v>257</v>
      </c>
      <c r="L152" s="360">
        <v>129380.13</v>
      </c>
      <c r="M152" s="36">
        <f t="shared" ref="M152:M157" si="16">I152*K152+J152</f>
        <v>819.83000000013089</v>
      </c>
      <c r="N152" s="37">
        <v>0</v>
      </c>
      <c r="O152" s="38">
        <f>M152-N152</f>
        <v>819.83000000013089</v>
      </c>
    </row>
    <row r="153" spans="1:15" ht="60" customHeight="1" thickBot="1" x14ac:dyDescent="0.55000000000000004">
      <c r="A153" s="17"/>
      <c r="B153" s="370"/>
      <c r="C153" s="358"/>
      <c r="D153" s="21" t="s">
        <v>36</v>
      </c>
      <c r="E153" s="261">
        <v>402</v>
      </c>
      <c r="F153" s="286">
        <v>46163</v>
      </c>
      <c r="G153" s="261">
        <v>402</v>
      </c>
      <c r="H153" s="286">
        <v>46197</v>
      </c>
      <c r="I153" s="34">
        <f>G153-E153</f>
        <v>0</v>
      </c>
      <c r="J153" s="34">
        <v>0</v>
      </c>
      <c r="K153" s="20">
        <v>1200</v>
      </c>
      <c r="L153" s="361"/>
      <c r="M153" s="36">
        <f t="shared" si="16"/>
        <v>0</v>
      </c>
      <c r="N153" s="19">
        <v>0</v>
      </c>
      <c r="O153" s="38">
        <f>L153+M153-N153</f>
        <v>0</v>
      </c>
    </row>
    <row r="154" spans="1:15" ht="48" customHeight="1" thickBot="1" x14ac:dyDescent="0.55000000000000004">
      <c r="A154" s="17"/>
      <c r="B154" s="370"/>
      <c r="C154" s="358"/>
      <c r="D154" s="53" t="s">
        <v>37</v>
      </c>
      <c r="E154" s="40">
        <v>0</v>
      </c>
      <c r="F154" s="286">
        <v>46163</v>
      </c>
      <c r="G154" s="40">
        <v>0</v>
      </c>
      <c r="H154" s="286">
        <v>46197</v>
      </c>
      <c r="I154" s="39">
        <v>1</v>
      </c>
      <c r="J154" s="39"/>
      <c r="K154" s="66">
        <v>15000</v>
      </c>
      <c r="L154" s="361"/>
      <c r="M154" s="36">
        <f t="shared" si="16"/>
        <v>15000</v>
      </c>
      <c r="N154" s="23">
        <v>0</v>
      </c>
      <c r="O154" s="38">
        <f>L154+M154-N154</f>
        <v>15000</v>
      </c>
    </row>
    <row r="155" spans="1:15" ht="44.25" customHeight="1" thickBot="1" x14ac:dyDescent="0.55000000000000004">
      <c r="A155" s="17"/>
      <c r="B155" s="370"/>
      <c r="C155" s="358"/>
      <c r="D155" s="59" t="s">
        <v>42</v>
      </c>
      <c r="E155" s="56"/>
      <c r="F155" s="286"/>
      <c r="G155" s="56"/>
      <c r="H155" s="286"/>
      <c r="I155" s="55"/>
      <c r="J155" s="55"/>
      <c r="K155" s="55">
        <v>0</v>
      </c>
      <c r="L155" s="361"/>
      <c r="M155" s="36">
        <f t="shared" si="16"/>
        <v>0</v>
      </c>
      <c r="N155" s="58"/>
      <c r="O155" s="38">
        <f>L155+M155-N155</f>
        <v>0</v>
      </c>
    </row>
    <row r="156" spans="1:15" ht="37.5" customHeight="1" thickBot="1" x14ac:dyDescent="0.55000000000000004">
      <c r="A156" s="17"/>
      <c r="B156" s="370"/>
      <c r="C156" s="358"/>
      <c r="D156" s="52" t="s">
        <v>85</v>
      </c>
      <c r="E156" s="35"/>
      <c r="F156" s="286"/>
      <c r="G156" s="35"/>
      <c r="H156" s="286"/>
      <c r="I156" s="55">
        <v>0</v>
      </c>
      <c r="J156" s="34"/>
      <c r="K156" s="34">
        <v>2000</v>
      </c>
      <c r="L156" s="361"/>
      <c r="M156" s="36">
        <f t="shared" si="16"/>
        <v>0</v>
      </c>
      <c r="N156" s="37"/>
      <c r="O156" s="38">
        <f>L156+M156-N156</f>
        <v>0</v>
      </c>
    </row>
    <row r="157" spans="1:15" ht="33.75" customHeight="1" thickBot="1" x14ac:dyDescent="0.55000000000000004">
      <c r="A157" s="17"/>
      <c r="B157" s="370"/>
      <c r="C157" s="358"/>
      <c r="D157" s="59" t="s">
        <v>14</v>
      </c>
      <c r="E157" s="56"/>
      <c r="F157" s="286"/>
      <c r="G157" s="56"/>
      <c r="H157" s="286"/>
      <c r="I157" s="55"/>
      <c r="J157" s="55"/>
      <c r="K157" s="55"/>
      <c r="L157" s="362"/>
      <c r="M157" s="36">
        <f t="shared" si="16"/>
        <v>0</v>
      </c>
      <c r="N157" s="58"/>
      <c r="O157" s="38">
        <f>L152</f>
        <v>129380.13</v>
      </c>
    </row>
    <row r="158" spans="1:15" ht="60" customHeight="1" thickBot="1" x14ac:dyDescent="0.55000000000000004">
      <c r="A158" s="17"/>
      <c r="B158" s="371"/>
      <c r="C158" s="359"/>
      <c r="D158" s="41" t="s">
        <v>38</v>
      </c>
      <c r="E158" s="42"/>
      <c r="F158" s="286"/>
      <c r="G158" s="42"/>
      <c r="H158" s="286"/>
      <c r="I158" s="43"/>
      <c r="J158" s="43"/>
      <c r="K158" s="43"/>
      <c r="L158" s="44"/>
      <c r="M158" s="44"/>
      <c r="N158" s="45"/>
      <c r="O158" s="46">
        <f>SUM(O152:O157)</f>
        <v>145199.96000000014</v>
      </c>
    </row>
    <row r="159" spans="1:15" ht="60" customHeight="1" thickBot="1" x14ac:dyDescent="0.55000000000000004">
      <c r="A159" s="22"/>
      <c r="B159" s="284"/>
      <c r="C159" s="278"/>
      <c r="D159" s="60"/>
      <c r="E159" s="61"/>
      <c r="F159" s="286"/>
      <c r="G159" s="61"/>
      <c r="H159" s="286"/>
      <c r="I159" s="60"/>
      <c r="J159" s="60"/>
      <c r="K159" s="60"/>
      <c r="L159" s="62"/>
      <c r="M159" s="62"/>
      <c r="N159" s="63"/>
      <c r="O159" s="64"/>
    </row>
    <row r="160" spans="1:15" ht="60" customHeight="1" thickBot="1" x14ac:dyDescent="0.35">
      <c r="A160" s="8" t="s">
        <v>3</v>
      </c>
      <c r="B160" s="9" t="s">
        <v>0</v>
      </c>
      <c r="C160" s="11" t="s">
        <v>1</v>
      </c>
      <c r="D160" s="32" t="s">
        <v>34</v>
      </c>
      <c r="E160" s="11" t="s">
        <v>198</v>
      </c>
      <c r="F160" s="286" t="s">
        <v>199</v>
      </c>
      <c r="G160" s="11" t="s">
        <v>197</v>
      </c>
      <c r="H160" s="286" t="s">
        <v>184</v>
      </c>
      <c r="I160" s="10" t="s">
        <v>2</v>
      </c>
      <c r="J160" s="10" t="s">
        <v>39</v>
      </c>
      <c r="K160" s="11" t="s">
        <v>40</v>
      </c>
      <c r="L160" s="13" t="s">
        <v>14</v>
      </c>
      <c r="M160" s="14" t="s">
        <v>15</v>
      </c>
      <c r="N160" s="15" t="s">
        <v>11</v>
      </c>
      <c r="O160" s="16" t="s">
        <v>76</v>
      </c>
    </row>
    <row r="161" spans="1:15" ht="60" customHeight="1" thickBot="1" x14ac:dyDescent="0.55000000000000004">
      <c r="A161" s="17">
        <v>1</v>
      </c>
      <c r="B161" s="354" t="s">
        <v>19</v>
      </c>
      <c r="C161" s="357">
        <v>403</v>
      </c>
      <c r="D161" s="52" t="s">
        <v>35</v>
      </c>
      <c r="E161" s="262">
        <v>534.39</v>
      </c>
      <c r="F161" s="286">
        <v>46163</v>
      </c>
      <c r="G161" s="262">
        <v>547.51</v>
      </c>
      <c r="H161" s="286">
        <v>46197</v>
      </c>
      <c r="I161" s="34">
        <f>G161-E161</f>
        <v>13.120000000000005</v>
      </c>
      <c r="J161" s="34"/>
      <c r="K161" s="34">
        <v>257</v>
      </c>
      <c r="L161" s="360">
        <v>3104.33</v>
      </c>
      <c r="M161" s="36">
        <f t="shared" ref="M161:M166" si="17">I161*K161+J161</f>
        <v>3371.8400000000011</v>
      </c>
      <c r="N161" s="37">
        <v>0</v>
      </c>
      <c r="O161" s="38">
        <f>M161-N161</f>
        <v>3371.8400000000011</v>
      </c>
    </row>
    <row r="162" spans="1:15" ht="60" customHeight="1" thickBot="1" x14ac:dyDescent="0.55000000000000004">
      <c r="A162" s="17"/>
      <c r="B162" s="355"/>
      <c r="C162" s="358"/>
      <c r="D162" s="21" t="s">
        <v>36</v>
      </c>
      <c r="E162" s="261">
        <v>162</v>
      </c>
      <c r="F162" s="286">
        <v>46163</v>
      </c>
      <c r="G162" s="261">
        <v>172</v>
      </c>
      <c r="H162" s="286">
        <v>46197</v>
      </c>
      <c r="I162" s="34">
        <f>G162-E162</f>
        <v>10</v>
      </c>
      <c r="J162" s="34">
        <v>1000</v>
      </c>
      <c r="K162" s="20">
        <v>1200</v>
      </c>
      <c r="L162" s="361"/>
      <c r="M162" s="36">
        <f t="shared" si="17"/>
        <v>13000</v>
      </c>
      <c r="N162" s="19">
        <v>0</v>
      </c>
      <c r="O162" s="38">
        <f>L162+M162-N162</f>
        <v>13000</v>
      </c>
    </row>
    <row r="163" spans="1:15" ht="60" customHeight="1" thickBot="1" x14ac:dyDescent="0.55000000000000004">
      <c r="A163" s="17"/>
      <c r="B163" s="355"/>
      <c r="C163" s="358"/>
      <c r="D163" s="53" t="s">
        <v>37</v>
      </c>
      <c r="E163" s="40">
        <v>0</v>
      </c>
      <c r="F163" s="286">
        <v>46163</v>
      </c>
      <c r="G163" s="40">
        <v>0</v>
      </c>
      <c r="H163" s="286">
        <v>46197</v>
      </c>
      <c r="I163" s="39">
        <v>1</v>
      </c>
      <c r="J163" s="39"/>
      <c r="K163" s="39">
        <v>25000</v>
      </c>
      <c r="L163" s="361"/>
      <c r="M163" s="36">
        <f t="shared" si="17"/>
        <v>25000</v>
      </c>
      <c r="N163" s="23">
        <v>0</v>
      </c>
      <c r="O163" s="38">
        <f>L163+M163-N163</f>
        <v>25000</v>
      </c>
    </row>
    <row r="164" spans="1:15" ht="60" customHeight="1" thickBot="1" x14ac:dyDescent="0.55000000000000004">
      <c r="A164" s="17"/>
      <c r="B164" s="355"/>
      <c r="C164" s="358"/>
      <c r="D164" s="59" t="s">
        <v>42</v>
      </c>
      <c r="E164" s="56"/>
      <c r="F164" s="286">
        <v>46163</v>
      </c>
      <c r="G164" s="56"/>
      <c r="H164" s="286">
        <v>46162</v>
      </c>
      <c r="I164" s="55">
        <v>0</v>
      </c>
      <c r="J164" s="55"/>
      <c r="K164" s="55">
        <v>0</v>
      </c>
      <c r="L164" s="361"/>
      <c r="M164" s="36">
        <f t="shared" si="17"/>
        <v>0</v>
      </c>
      <c r="N164" s="58"/>
      <c r="O164" s="38">
        <f>L164+M164-N164</f>
        <v>0</v>
      </c>
    </row>
    <row r="165" spans="1:15" ht="60" customHeight="1" thickBot="1" x14ac:dyDescent="0.55000000000000004">
      <c r="A165" s="17"/>
      <c r="B165" s="355"/>
      <c r="C165" s="358"/>
      <c r="D165" s="52" t="s">
        <v>85</v>
      </c>
      <c r="E165" s="35"/>
      <c r="F165" s="286"/>
      <c r="G165" s="35"/>
      <c r="H165" s="286"/>
      <c r="I165" s="55">
        <v>1</v>
      </c>
      <c r="J165" s="34"/>
      <c r="K165" s="34">
        <v>2000</v>
      </c>
      <c r="L165" s="361"/>
      <c r="M165" s="36">
        <f t="shared" si="17"/>
        <v>2000</v>
      </c>
      <c r="N165" s="37"/>
      <c r="O165" s="38">
        <f>L165+M165-N165</f>
        <v>2000</v>
      </c>
    </row>
    <row r="166" spans="1:15" ht="60" customHeight="1" thickBot="1" x14ac:dyDescent="0.55000000000000004">
      <c r="A166" s="17"/>
      <c r="B166" s="355"/>
      <c r="C166" s="358"/>
      <c r="D166" s="59" t="s">
        <v>14</v>
      </c>
      <c r="E166" s="56"/>
      <c r="F166" s="286"/>
      <c r="G166" s="56"/>
      <c r="H166" s="286"/>
      <c r="I166" s="55"/>
      <c r="J166" s="55"/>
      <c r="K166" s="55"/>
      <c r="L166" s="362"/>
      <c r="M166" s="36">
        <f t="shared" si="17"/>
        <v>0</v>
      </c>
      <c r="N166" s="58"/>
      <c r="O166" s="38">
        <f>L161</f>
        <v>3104.33</v>
      </c>
    </row>
    <row r="167" spans="1:15" ht="60" customHeight="1" thickBot="1" x14ac:dyDescent="0.55000000000000004">
      <c r="A167" s="17"/>
      <c r="B167" s="356"/>
      <c r="C167" s="359"/>
      <c r="D167" s="41" t="s">
        <v>38</v>
      </c>
      <c r="E167" s="42"/>
      <c r="F167" s="286"/>
      <c r="G167" s="42"/>
      <c r="H167" s="286"/>
      <c r="I167" s="43"/>
      <c r="J167" s="43"/>
      <c r="K167" s="43"/>
      <c r="L167" s="44"/>
      <c r="M167" s="44"/>
      <c r="N167" s="45"/>
      <c r="O167" s="46">
        <f>SUM(O161:O166)</f>
        <v>46476.17</v>
      </c>
    </row>
    <row r="168" spans="1:15" ht="60" customHeight="1" thickBot="1" x14ac:dyDescent="0.55000000000000004">
      <c r="A168" s="22"/>
      <c r="B168" s="276"/>
      <c r="C168" s="278"/>
      <c r="D168" s="60"/>
      <c r="E168" s="61"/>
      <c r="F168" s="286"/>
      <c r="G168" s="61"/>
      <c r="H168" s="286"/>
      <c r="I168" s="60"/>
      <c r="J168" s="60"/>
      <c r="K168" s="60"/>
      <c r="L168" s="62"/>
      <c r="M168" s="62"/>
      <c r="N168" s="63"/>
      <c r="O168" s="64"/>
    </row>
    <row r="169" spans="1:15" ht="60" customHeight="1" thickBot="1" x14ac:dyDescent="0.35">
      <c r="A169" s="8" t="s">
        <v>3</v>
      </c>
      <c r="B169" s="9" t="s">
        <v>0</v>
      </c>
      <c r="C169" s="11" t="s">
        <v>1</v>
      </c>
      <c r="D169" s="32" t="s">
        <v>34</v>
      </c>
      <c r="E169" s="11" t="s">
        <v>198</v>
      </c>
      <c r="F169" s="286" t="s">
        <v>199</v>
      </c>
      <c r="G169" s="11" t="s">
        <v>197</v>
      </c>
      <c r="H169" s="286" t="s">
        <v>184</v>
      </c>
      <c r="I169" s="10" t="s">
        <v>2</v>
      </c>
      <c r="J169" s="10" t="s">
        <v>39</v>
      </c>
      <c r="K169" s="11" t="s">
        <v>40</v>
      </c>
      <c r="L169" s="13" t="s">
        <v>14</v>
      </c>
      <c r="M169" s="14" t="s">
        <v>15</v>
      </c>
      <c r="N169" s="15" t="s">
        <v>11</v>
      </c>
      <c r="O169" s="16" t="s">
        <v>76</v>
      </c>
    </row>
    <row r="170" spans="1:15" ht="60" customHeight="1" thickBot="1" x14ac:dyDescent="0.55000000000000004">
      <c r="A170" s="17">
        <v>1</v>
      </c>
      <c r="B170" s="363" t="s">
        <v>53</v>
      </c>
      <c r="C170" s="357">
        <v>404</v>
      </c>
      <c r="D170" s="52" t="s">
        <v>35</v>
      </c>
      <c r="E170" s="262">
        <v>9254.42</v>
      </c>
      <c r="F170" s="286">
        <v>46163</v>
      </c>
      <c r="G170" s="262">
        <v>9254.42</v>
      </c>
      <c r="H170" s="286">
        <v>46197</v>
      </c>
      <c r="I170" s="34">
        <f>G170-E170</f>
        <v>0</v>
      </c>
      <c r="J170" s="34"/>
      <c r="K170" s="34">
        <v>257</v>
      </c>
      <c r="L170" s="360">
        <v>799316.37</v>
      </c>
      <c r="M170" s="36">
        <f t="shared" ref="M170:M175" si="18">I170*K170+J170</f>
        <v>0</v>
      </c>
      <c r="N170" s="37">
        <v>0</v>
      </c>
      <c r="O170" s="38">
        <f>M170-N170</f>
        <v>0</v>
      </c>
    </row>
    <row r="171" spans="1:15" ht="60" customHeight="1" thickBot="1" x14ac:dyDescent="0.55000000000000004">
      <c r="A171" s="17"/>
      <c r="B171" s="364"/>
      <c r="C171" s="358"/>
      <c r="D171" s="21" t="s">
        <v>36</v>
      </c>
      <c r="E171" s="261">
        <v>482</v>
      </c>
      <c r="F171" s="286">
        <v>46163</v>
      </c>
      <c r="G171" s="261">
        <v>482</v>
      </c>
      <c r="H171" s="286">
        <v>46197</v>
      </c>
      <c r="I171" s="34">
        <f>G171-E171</f>
        <v>0</v>
      </c>
      <c r="J171" s="34">
        <v>0</v>
      </c>
      <c r="K171" s="20">
        <v>1200</v>
      </c>
      <c r="L171" s="361"/>
      <c r="M171" s="36">
        <f t="shared" si="18"/>
        <v>0</v>
      </c>
      <c r="N171" s="19">
        <v>0</v>
      </c>
      <c r="O171" s="38">
        <f>L171+M171-N171</f>
        <v>0</v>
      </c>
    </row>
    <row r="172" spans="1:15" ht="60" customHeight="1" thickBot="1" x14ac:dyDescent="0.55000000000000004">
      <c r="A172" s="17"/>
      <c r="B172" s="364"/>
      <c r="C172" s="358"/>
      <c r="D172" s="53" t="s">
        <v>37</v>
      </c>
      <c r="E172" s="40">
        <v>0</v>
      </c>
      <c r="F172" s="286">
        <v>46163</v>
      </c>
      <c r="G172" s="40">
        <v>0</v>
      </c>
      <c r="H172" s="286">
        <v>46197</v>
      </c>
      <c r="I172" s="39">
        <v>1</v>
      </c>
      <c r="J172" s="39"/>
      <c r="K172" s="66">
        <v>15000</v>
      </c>
      <c r="L172" s="361"/>
      <c r="M172" s="36">
        <f t="shared" si="18"/>
        <v>15000</v>
      </c>
      <c r="N172" s="23"/>
      <c r="O172" s="38">
        <f>L172+M172-N172</f>
        <v>15000</v>
      </c>
    </row>
    <row r="173" spans="1:15" ht="28.5" customHeight="1" thickBot="1" x14ac:dyDescent="0.55000000000000004">
      <c r="A173" s="17"/>
      <c r="B173" s="364"/>
      <c r="C173" s="358"/>
      <c r="D173" s="59" t="s">
        <v>42</v>
      </c>
      <c r="E173" s="56"/>
      <c r="F173" s="286">
        <v>46163</v>
      </c>
      <c r="G173" s="56"/>
      <c r="H173" s="286">
        <v>46162</v>
      </c>
      <c r="I173" s="55"/>
      <c r="J173" s="55"/>
      <c r="K173" s="55">
        <v>0</v>
      </c>
      <c r="L173" s="361"/>
      <c r="M173" s="36">
        <f t="shared" si="18"/>
        <v>0</v>
      </c>
      <c r="N173" s="58"/>
      <c r="O173" s="38">
        <f>L173+M173-N173</f>
        <v>0</v>
      </c>
    </row>
    <row r="174" spans="1:15" ht="60" customHeight="1" thickBot="1" x14ac:dyDescent="0.55000000000000004">
      <c r="A174" s="17"/>
      <c r="B174" s="364"/>
      <c r="C174" s="358"/>
      <c r="D174" s="52" t="s">
        <v>85</v>
      </c>
      <c r="E174" s="35"/>
      <c r="F174" s="286"/>
      <c r="G174" s="35"/>
      <c r="H174" s="286"/>
      <c r="I174" s="55">
        <v>0</v>
      </c>
      <c r="J174" s="34"/>
      <c r="K174" s="34">
        <v>2000</v>
      </c>
      <c r="L174" s="361"/>
      <c r="M174" s="36">
        <f t="shared" si="18"/>
        <v>0</v>
      </c>
      <c r="N174" s="37"/>
      <c r="O174" s="38">
        <f>L174+M174-N174</f>
        <v>0</v>
      </c>
    </row>
    <row r="175" spans="1:15" ht="60" customHeight="1" thickBot="1" x14ac:dyDescent="0.55000000000000004">
      <c r="A175" s="17"/>
      <c r="B175" s="364"/>
      <c r="C175" s="358"/>
      <c r="D175" s="59" t="s">
        <v>14</v>
      </c>
      <c r="E175" s="56"/>
      <c r="F175" s="286"/>
      <c r="G175" s="56"/>
      <c r="H175" s="286"/>
      <c r="I175" s="55"/>
      <c r="J175" s="55"/>
      <c r="K175" s="55"/>
      <c r="L175" s="362"/>
      <c r="M175" s="36">
        <f t="shared" si="18"/>
        <v>0</v>
      </c>
      <c r="N175" s="58"/>
      <c r="O175" s="38">
        <f>L170</f>
        <v>799316.37</v>
      </c>
    </row>
    <row r="176" spans="1:15" ht="60" customHeight="1" thickBot="1" x14ac:dyDescent="0.55000000000000004">
      <c r="A176" s="17"/>
      <c r="B176" s="365"/>
      <c r="C176" s="359"/>
      <c r="D176" s="41" t="s">
        <v>38</v>
      </c>
      <c r="E176" s="42"/>
      <c r="F176" s="286"/>
      <c r="G176" s="42"/>
      <c r="H176" s="286"/>
      <c r="I176" s="43"/>
      <c r="J176" s="43"/>
      <c r="K176" s="43"/>
      <c r="L176" s="44"/>
      <c r="M176" s="44"/>
      <c r="N176" s="45"/>
      <c r="O176" s="46">
        <f>SUM(O170:O175)</f>
        <v>814316.37</v>
      </c>
    </row>
    <row r="177" spans="1:15" ht="60" customHeight="1" thickBot="1" x14ac:dyDescent="0.55000000000000004">
      <c r="A177" s="22"/>
      <c r="B177" s="279"/>
      <c r="C177" s="278"/>
      <c r="D177" s="60"/>
      <c r="E177" s="61"/>
      <c r="F177" s="286"/>
      <c r="G177" s="61"/>
      <c r="H177" s="286"/>
      <c r="I177" s="60"/>
      <c r="J177" s="60"/>
      <c r="K177" s="60"/>
      <c r="L177" s="62"/>
      <c r="M177" s="62"/>
      <c r="N177" s="63"/>
      <c r="O177" s="64"/>
    </row>
    <row r="178" spans="1:15" ht="60" customHeight="1" thickBot="1" x14ac:dyDescent="0.35">
      <c r="A178" s="8" t="s">
        <v>3</v>
      </c>
      <c r="B178" s="9" t="s">
        <v>0</v>
      </c>
      <c r="C178" s="11" t="s">
        <v>1</v>
      </c>
      <c r="D178" s="32" t="s">
        <v>34</v>
      </c>
      <c r="E178" s="11" t="s">
        <v>198</v>
      </c>
      <c r="F178" s="286" t="s">
        <v>199</v>
      </c>
      <c r="G178" s="11" t="s">
        <v>197</v>
      </c>
      <c r="H178" s="286" t="s">
        <v>184</v>
      </c>
      <c r="I178" s="10" t="s">
        <v>2</v>
      </c>
      <c r="J178" s="10" t="s">
        <v>39</v>
      </c>
      <c r="K178" s="11" t="s">
        <v>40</v>
      </c>
      <c r="L178" s="13" t="s">
        <v>14</v>
      </c>
      <c r="M178" s="14" t="s">
        <v>15</v>
      </c>
      <c r="N178" s="15" t="s">
        <v>11</v>
      </c>
      <c r="O178" s="16" t="s">
        <v>76</v>
      </c>
    </row>
    <row r="179" spans="1:15" ht="60" customHeight="1" thickBot="1" x14ac:dyDescent="0.55000000000000004">
      <c r="A179" s="17">
        <v>1</v>
      </c>
      <c r="B179" s="363" t="s">
        <v>30</v>
      </c>
      <c r="C179" s="357">
        <v>405</v>
      </c>
      <c r="D179" s="52" t="s">
        <v>35</v>
      </c>
      <c r="E179" s="262">
        <v>5024.6000000000004</v>
      </c>
      <c r="F179" s="286">
        <v>46163</v>
      </c>
      <c r="G179" s="262">
        <v>5034.29</v>
      </c>
      <c r="H179" s="286">
        <v>46197</v>
      </c>
      <c r="I179" s="34">
        <f>G179-E179</f>
        <v>9.6899999999995998</v>
      </c>
      <c r="J179" s="34"/>
      <c r="K179" s="34">
        <v>257</v>
      </c>
      <c r="L179" s="360">
        <v>130323.93</v>
      </c>
      <c r="M179" s="36">
        <f t="shared" ref="M179:M184" si="19">I179*K179+J179</f>
        <v>2490.3299999998972</v>
      </c>
      <c r="N179" s="37"/>
      <c r="O179" s="38">
        <f>M179-N179</f>
        <v>2490.3299999998972</v>
      </c>
    </row>
    <row r="180" spans="1:15" ht="60" customHeight="1" thickBot="1" x14ac:dyDescent="0.55000000000000004">
      <c r="A180" s="17"/>
      <c r="B180" s="364"/>
      <c r="C180" s="358"/>
      <c r="D180" s="21" t="s">
        <v>36</v>
      </c>
      <c r="E180" s="261">
        <v>862</v>
      </c>
      <c r="F180" s="286">
        <v>46163</v>
      </c>
      <c r="G180" s="261">
        <v>890</v>
      </c>
      <c r="H180" s="286">
        <v>46197</v>
      </c>
      <c r="I180" s="34">
        <f>G180-E180</f>
        <v>28</v>
      </c>
      <c r="J180" s="34">
        <v>1000</v>
      </c>
      <c r="K180" s="20">
        <v>1200</v>
      </c>
      <c r="L180" s="361"/>
      <c r="M180" s="36">
        <f t="shared" si="19"/>
        <v>34600</v>
      </c>
      <c r="N180" s="19"/>
      <c r="O180" s="38">
        <f>L180+M180-N180</f>
        <v>34600</v>
      </c>
    </row>
    <row r="181" spans="1:15" ht="60" customHeight="1" thickBot="1" x14ac:dyDescent="0.55000000000000004">
      <c r="A181" s="17"/>
      <c r="B181" s="364"/>
      <c r="C181" s="358"/>
      <c r="D181" s="53" t="s">
        <v>37</v>
      </c>
      <c r="E181" s="40">
        <v>0</v>
      </c>
      <c r="F181" s="286">
        <v>46163</v>
      </c>
      <c r="G181" s="40">
        <v>0</v>
      </c>
      <c r="H181" s="286">
        <v>46197</v>
      </c>
      <c r="I181" s="39">
        <v>1</v>
      </c>
      <c r="J181" s="39"/>
      <c r="K181" s="39">
        <v>25000</v>
      </c>
      <c r="L181" s="361"/>
      <c r="M181" s="36">
        <f t="shared" si="19"/>
        <v>25000</v>
      </c>
      <c r="N181" s="23"/>
      <c r="O181" s="38">
        <f>L181+M181-N181</f>
        <v>25000</v>
      </c>
    </row>
    <row r="182" spans="1:15" ht="33.75" customHeight="1" thickBot="1" x14ac:dyDescent="0.55000000000000004">
      <c r="A182" s="17"/>
      <c r="B182" s="364"/>
      <c r="C182" s="358"/>
      <c r="D182" s="59" t="s">
        <v>42</v>
      </c>
      <c r="E182" s="56"/>
      <c r="F182" s="286">
        <v>46163</v>
      </c>
      <c r="G182" s="56"/>
      <c r="H182" s="286">
        <v>46162</v>
      </c>
      <c r="I182" s="55"/>
      <c r="J182" s="55"/>
      <c r="K182" s="55">
        <v>0</v>
      </c>
      <c r="L182" s="361"/>
      <c r="M182" s="36">
        <f t="shared" si="19"/>
        <v>0</v>
      </c>
      <c r="N182" s="58"/>
      <c r="O182" s="38">
        <f>L182+M182-N182</f>
        <v>0</v>
      </c>
    </row>
    <row r="183" spans="1:15" ht="35.25" customHeight="1" thickBot="1" x14ac:dyDescent="0.55000000000000004">
      <c r="A183" s="17"/>
      <c r="B183" s="364"/>
      <c r="C183" s="358"/>
      <c r="D183" s="52" t="s">
        <v>85</v>
      </c>
      <c r="E183" s="35"/>
      <c r="F183" s="286"/>
      <c r="G183" s="35"/>
      <c r="H183" s="286"/>
      <c r="I183" s="55">
        <v>1</v>
      </c>
      <c r="J183" s="34"/>
      <c r="K183" s="34">
        <v>2000</v>
      </c>
      <c r="L183" s="361"/>
      <c r="M183" s="36">
        <f t="shared" si="19"/>
        <v>2000</v>
      </c>
      <c r="N183" s="37"/>
      <c r="O183" s="38">
        <f>L183+M183-N183</f>
        <v>2000</v>
      </c>
    </row>
    <row r="184" spans="1:15" ht="60" customHeight="1" thickBot="1" x14ac:dyDescent="0.55000000000000004">
      <c r="A184" s="17"/>
      <c r="B184" s="364"/>
      <c r="C184" s="358"/>
      <c r="D184" s="59" t="s">
        <v>14</v>
      </c>
      <c r="E184" s="56"/>
      <c r="F184" s="286"/>
      <c r="G184" s="56"/>
      <c r="H184" s="286"/>
      <c r="I184" s="55"/>
      <c r="J184" s="55"/>
      <c r="K184" s="55"/>
      <c r="L184" s="362"/>
      <c r="M184" s="36">
        <f t="shared" si="19"/>
        <v>0</v>
      </c>
      <c r="N184" s="58"/>
      <c r="O184" s="38">
        <f>L179</f>
        <v>130323.93</v>
      </c>
    </row>
    <row r="185" spans="1:15" ht="60" customHeight="1" thickBot="1" x14ac:dyDescent="0.55000000000000004">
      <c r="A185" s="17"/>
      <c r="B185" s="365"/>
      <c r="C185" s="359"/>
      <c r="D185" s="41" t="s">
        <v>38</v>
      </c>
      <c r="E185" s="42"/>
      <c r="F185" s="286"/>
      <c r="G185" s="42"/>
      <c r="H185" s="286"/>
      <c r="I185" s="43"/>
      <c r="J185" s="43"/>
      <c r="K185" s="43"/>
      <c r="L185" s="44"/>
      <c r="M185" s="44"/>
      <c r="N185" s="45"/>
      <c r="O185" s="46">
        <f>SUM(O179:O184)</f>
        <v>194414.25999999989</v>
      </c>
    </row>
    <row r="186" spans="1:15" ht="53.25" customHeight="1" thickBot="1" x14ac:dyDescent="0.55000000000000004">
      <c r="A186" s="20"/>
      <c r="B186" s="20"/>
      <c r="C186" s="20"/>
      <c r="D186" s="20"/>
      <c r="E186" s="21"/>
      <c r="F186" s="286"/>
      <c r="G186" s="21"/>
      <c r="H186" s="286"/>
      <c r="I186" s="20"/>
      <c r="J186" s="20"/>
      <c r="K186" s="20"/>
      <c r="L186" s="20"/>
      <c r="M186" s="29"/>
      <c r="N186" s="19"/>
      <c r="O186" s="30"/>
    </row>
    <row r="187" spans="1:15" ht="60" customHeight="1" thickBot="1" x14ac:dyDescent="0.35">
      <c r="A187" s="8" t="s">
        <v>3</v>
      </c>
      <c r="B187" s="9" t="s">
        <v>0</v>
      </c>
      <c r="C187" s="11" t="s">
        <v>1</v>
      </c>
      <c r="D187" s="32" t="s">
        <v>34</v>
      </c>
      <c r="E187" s="11" t="s">
        <v>198</v>
      </c>
      <c r="F187" s="286" t="s">
        <v>199</v>
      </c>
      <c r="G187" s="11" t="s">
        <v>197</v>
      </c>
      <c r="H187" s="286" t="s">
        <v>184</v>
      </c>
      <c r="I187" s="10" t="s">
        <v>2</v>
      </c>
      <c r="J187" s="10" t="s">
        <v>39</v>
      </c>
      <c r="K187" s="11" t="s">
        <v>40</v>
      </c>
      <c r="L187" s="13" t="s">
        <v>14</v>
      </c>
      <c r="M187" s="14" t="s">
        <v>15</v>
      </c>
      <c r="N187" s="15" t="s">
        <v>11</v>
      </c>
      <c r="O187" s="16" t="s">
        <v>76</v>
      </c>
    </row>
    <row r="188" spans="1:15" ht="60" customHeight="1" thickBot="1" x14ac:dyDescent="0.55000000000000004">
      <c r="A188" s="17">
        <v>1</v>
      </c>
      <c r="B188" s="366" t="s">
        <v>5</v>
      </c>
      <c r="C188" s="357">
        <v>501</v>
      </c>
      <c r="D188" s="52" t="s">
        <v>35</v>
      </c>
      <c r="E188" s="262">
        <v>3546.97</v>
      </c>
      <c r="F188" s="286">
        <v>46163</v>
      </c>
      <c r="G188" s="262">
        <v>3547</v>
      </c>
      <c r="H188" s="286">
        <v>46197</v>
      </c>
      <c r="I188" s="34">
        <f>G188-E188</f>
        <v>3.0000000000200089E-2</v>
      </c>
      <c r="J188" s="34"/>
      <c r="K188" s="34">
        <v>257</v>
      </c>
      <c r="L188" s="360">
        <v>64772.01</v>
      </c>
      <c r="M188" s="36">
        <f t="shared" ref="M188:M193" si="20">I188*K188+J188</f>
        <v>7.7100000000514228</v>
      </c>
      <c r="N188" s="37"/>
      <c r="O188" s="38">
        <f>M188-N188</f>
        <v>7.7100000000514228</v>
      </c>
    </row>
    <row r="189" spans="1:15" ht="60" customHeight="1" thickBot="1" x14ac:dyDescent="0.55000000000000004">
      <c r="A189" s="17"/>
      <c r="B189" s="367"/>
      <c r="C189" s="358"/>
      <c r="D189" s="21" t="s">
        <v>36</v>
      </c>
      <c r="E189" s="261">
        <v>1051</v>
      </c>
      <c r="F189" s="286">
        <v>46163</v>
      </c>
      <c r="G189" s="261">
        <v>1071</v>
      </c>
      <c r="H189" s="286">
        <v>46197</v>
      </c>
      <c r="I189" s="34">
        <f>G189-E189</f>
        <v>20</v>
      </c>
      <c r="J189" s="34">
        <v>1000</v>
      </c>
      <c r="K189" s="20">
        <v>1200</v>
      </c>
      <c r="L189" s="361"/>
      <c r="M189" s="36">
        <f t="shared" si="20"/>
        <v>25000</v>
      </c>
      <c r="N189" s="19"/>
      <c r="O189" s="38">
        <f>L189+M189-N189</f>
        <v>25000</v>
      </c>
    </row>
    <row r="190" spans="1:15" ht="60" customHeight="1" thickBot="1" x14ac:dyDescent="0.55000000000000004">
      <c r="A190" s="17"/>
      <c r="B190" s="367"/>
      <c r="C190" s="358"/>
      <c r="D190" s="53" t="s">
        <v>37</v>
      </c>
      <c r="E190" s="40">
        <v>0</v>
      </c>
      <c r="F190" s="286" t="s">
        <v>190</v>
      </c>
      <c r="G190" s="40">
        <v>0</v>
      </c>
      <c r="H190" s="286" t="s">
        <v>190</v>
      </c>
      <c r="I190" s="39">
        <v>1</v>
      </c>
      <c r="J190" s="39"/>
      <c r="K190" s="39">
        <v>25000</v>
      </c>
      <c r="L190" s="361"/>
      <c r="M190" s="36">
        <f t="shared" si="20"/>
        <v>25000</v>
      </c>
      <c r="N190" s="23"/>
      <c r="O190" s="38">
        <f>L190+M190-N190</f>
        <v>25000</v>
      </c>
    </row>
    <row r="191" spans="1:15" ht="60" customHeight="1" thickBot="1" x14ac:dyDescent="0.55000000000000004">
      <c r="A191" s="17"/>
      <c r="B191" s="367"/>
      <c r="C191" s="358"/>
      <c r="D191" s="59" t="s">
        <v>42</v>
      </c>
      <c r="E191" s="56"/>
      <c r="F191" s="286">
        <v>46163</v>
      </c>
      <c r="G191" s="56"/>
      <c r="H191" s="286">
        <v>46162</v>
      </c>
      <c r="I191" s="55"/>
      <c r="J191" s="55"/>
      <c r="K191" s="55">
        <v>0</v>
      </c>
      <c r="L191" s="361"/>
      <c r="M191" s="36">
        <f t="shared" si="20"/>
        <v>0</v>
      </c>
      <c r="N191" s="58"/>
      <c r="O191" s="38">
        <f>L191+M191-N191</f>
        <v>0</v>
      </c>
    </row>
    <row r="192" spans="1:15" ht="60" customHeight="1" thickBot="1" x14ac:dyDescent="0.55000000000000004">
      <c r="A192" s="17"/>
      <c r="B192" s="367"/>
      <c r="C192" s="358"/>
      <c r="D192" s="52" t="s">
        <v>85</v>
      </c>
      <c r="E192" s="35"/>
      <c r="F192" s="286"/>
      <c r="G192" s="35"/>
      <c r="H192" s="286"/>
      <c r="I192" s="55">
        <v>1</v>
      </c>
      <c r="J192" s="34"/>
      <c r="K192" s="34">
        <v>2000</v>
      </c>
      <c r="L192" s="361"/>
      <c r="M192" s="36">
        <f t="shared" si="20"/>
        <v>2000</v>
      </c>
      <c r="N192" s="37"/>
      <c r="O192" s="38">
        <f>L192+M192-N192</f>
        <v>2000</v>
      </c>
    </row>
    <row r="193" spans="1:15" ht="60" customHeight="1" thickBot="1" x14ac:dyDescent="0.55000000000000004">
      <c r="A193" s="17"/>
      <c r="B193" s="367"/>
      <c r="C193" s="358"/>
      <c r="D193" s="59" t="s">
        <v>14</v>
      </c>
      <c r="E193" s="56"/>
      <c r="F193" s="286"/>
      <c r="G193" s="56"/>
      <c r="H193" s="286"/>
      <c r="I193" s="55"/>
      <c r="J193" s="55"/>
      <c r="K193" s="55"/>
      <c r="L193" s="362"/>
      <c r="M193" s="36">
        <f t="shared" si="20"/>
        <v>0</v>
      </c>
      <c r="N193" s="58"/>
      <c r="O193" s="38">
        <f>L188</f>
        <v>64772.01</v>
      </c>
    </row>
    <row r="194" spans="1:15" ht="60" customHeight="1" thickBot="1" x14ac:dyDescent="0.55000000000000004">
      <c r="A194" s="17"/>
      <c r="B194" s="368"/>
      <c r="C194" s="359"/>
      <c r="D194" s="41" t="s">
        <v>38</v>
      </c>
      <c r="E194" s="42"/>
      <c r="F194" s="286"/>
      <c r="G194" s="42"/>
      <c r="H194" s="286"/>
      <c r="I194" s="43"/>
      <c r="J194" s="43"/>
      <c r="K194" s="43"/>
      <c r="L194" s="44"/>
      <c r="M194" s="44"/>
      <c r="N194" s="45"/>
      <c r="O194" s="46">
        <f>SUM(O188:O193)</f>
        <v>116779.72000000006</v>
      </c>
    </row>
    <row r="195" spans="1:15" ht="60" customHeight="1" thickBot="1" x14ac:dyDescent="0.55000000000000004">
      <c r="A195" s="22"/>
      <c r="B195" s="283"/>
      <c r="C195" s="278"/>
      <c r="D195" s="60"/>
      <c r="E195" s="61"/>
      <c r="F195" s="286"/>
      <c r="G195" s="61"/>
      <c r="H195" s="286"/>
      <c r="I195" s="60"/>
      <c r="J195" s="60"/>
      <c r="K195" s="60"/>
      <c r="L195" s="62"/>
      <c r="M195" s="62"/>
      <c r="N195" s="63"/>
      <c r="O195" s="64"/>
    </row>
    <row r="196" spans="1:15" ht="60" customHeight="1" thickBot="1" x14ac:dyDescent="0.35">
      <c r="A196" s="8" t="s">
        <v>3</v>
      </c>
      <c r="B196" s="9" t="s">
        <v>0</v>
      </c>
      <c r="C196" s="11" t="s">
        <v>1</v>
      </c>
      <c r="D196" s="32" t="s">
        <v>34</v>
      </c>
      <c r="E196" s="11" t="s">
        <v>198</v>
      </c>
      <c r="F196" s="286" t="s">
        <v>199</v>
      </c>
      <c r="G196" s="11" t="s">
        <v>197</v>
      </c>
      <c r="H196" s="286" t="s">
        <v>184</v>
      </c>
      <c r="I196" s="10" t="s">
        <v>2</v>
      </c>
      <c r="J196" s="10" t="s">
        <v>39</v>
      </c>
      <c r="K196" s="11" t="s">
        <v>40</v>
      </c>
      <c r="L196" s="13" t="s">
        <v>14</v>
      </c>
      <c r="M196" s="14" t="s">
        <v>15</v>
      </c>
      <c r="N196" s="15" t="s">
        <v>11</v>
      </c>
      <c r="O196" s="16" t="s">
        <v>76</v>
      </c>
    </row>
    <row r="197" spans="1:15" ht="60" customHeight="1" thickBot="1" x14ac:dyDescent="0.55000000000000004">
      <c r="A197" s="17">
        <v>1</v>
      </c>
      <c r="B197" s="363" t="s">
        <v>20</v>
      </c>
      <c r="C197" s="357">
        <v>502</v>
      </c>
      <c r="D197" s="52" t="s">
        <v>35</v>
      </c>
      <c r="E197" s="262">
        <v>62.03</v>
      </c>
      <c r="F197" s="286">
        <v>46163</v>
      </c>
      <c r="G197" s="262">
        <v>62.03</v>
      </c>
      <c r="H197" s="286">
        <v>46197</v>
      </c>
      <c r="I197" s="34">
        <f>G197-E197</f>
        <v>0</v>
      </c>
      <c r="J197" s="34"/>
      <c r="K197" s="34">
        <v>257</v>
      </c>
      <c r="L197" s="360">
        <v>630000</v>
      </c>
      <c r="M197" s="36">
        <f t="shared" ref="M197:M202" si="21">I197*K197+J197</f>
        <v>0</v>
      </c>
      <c r="N197" s="37">
        <v>0</v>
      </c>
      <c r="O197" s="38">
        <f>M197-N197</f>
        <v>0</v>
      </c>
    </row>
    <row r="198" spans="1:15" ht="60" customHeight="1" thickBot="1" x14ac:dyDescent="0.55000000000000004">
      <c r="A198" s="17"/>
      <c r="B198" s="364"/>
      <c r="C198" s="358"/>
      <c r="D198" s="21" t="s">
        <v>36</v>
      </c>
      <c r="E198" s="261">
        <v>89</v>
      </c>
      <c r="F198" s="286">
        <v>46163</v>
      </c>
      <c r="G198" s="261">
        <v>89</v>
      </c>
      <c r="H198" s="286">
        <v>46197</v>
      </c>
      <c r="I198" s="34">
        <f>G198-E198</f>
        <v>0</v>
      </c>
      <c r="J198" s="34"/>
      <c r="K198" s="20">
        <v>1200</v>
      </c>
      <c r="L198" s="361"/>
      <c r="M198" s="36">
        <f t="shared" si="21"/>
        <v>0</v>
      </c>
      <c r="N198" s="19">
        <v>0</v>
      </c>
      <c r="O198" s="38">
        <f>L198+M198-N198</f>
        <v>0</v>
      </c>
    </row>
    <row r="199" spans="1:15" ht="60" customHeight="1" thickBot="1" x14ac:dyDescent="0.55000000000000004">
      <c r="A199" s="17"/>
      <c r="B199" s="364"/>
      <c r="C199" s="358"/>
      <c r="D199" s="53" t="s">
        <v>37</v>
      </c>
      <c r="E199" s="40">
        <v>0</v>
      </c>
      <c r="F199" s="286">
        <v>46163</v>
      </c>
      <c r="G199" s="40">
        <v>0</v>
      </c>
      <c r="H199" s="286">
        <v>46197</v>
      </c>
      <c r="I199" s="39">
        <v>1</v>
      </c>
      <c r="J199" s="39"/>
      <c r="K199" s="39">
        <v>15000</v>
      </c>
      <c r="L199" s="361"/>
      <c r="M199" s="36">
        <f t="shared" si="21"/>
        <v>15000</v>
      </c>
      <c r="N199" s="23">
        <v>0</v>
      </c>
      <c r="O199" s="38">
        <f>L199+M199-N199</f>
        <v>15000</v>
      </c>
    </row>
    <row r="200" spans="1:15" ht="60" customHeight="1" thickBot="1" x14ac:dyDescent="0.55000000000000004">
      <c r="A200" s="17"/>
      <c r="B200" s="364"/>
      <c r="C200" s="358"/>
      <c r="D200" s="59" t="s">
        <v>42</v>
      </c>
      <c r="E200" s="56"/>
      <c r="F200" s="286"/>
      <c r="G200" s="56"/>
      <c r="H200" s="286"/>
      <c r="I200" s="55"/>
      <c r="J200" s="55"/>
      <c r="K200" s="55"/>
      <c r="L200" s="361"/>
      <c r="M200" s="36">
        <f t="shared" si="21"/>
        <v>0</v>
      </c>
      <c r="N200" s="58"/>
      <c r="O200" s="38">
        <f>L200+M200-N200</f>
        <v>0</v>
      </c>
    </row>
    <row r="201" spans="1:15" ht="60" customHeight="1" thickBot="1" x14ac:dyDescent="0.55000000000000004">
      <c r="A201" s="17"/>
      <c r="B201" s="364"/>
      <c r="C201" s="358"/>
      <c r="D201" s="52" t="s">
        <v>85</v>
      </c>
      <c r="E201" s="35"/>
      <c r="F201" s="286"/>
      <c r="G201" s="35"/>
      <c r="H201" s="286"/>
      <c r="I201" s="55">
        <v>0</v>
      </c>
      <c r="J201" s="34"/>
      <c r="K201" s="34">
        <v>2000</v>
      </c>
      <c r="L201" s="361"/>
      <c r="M201" s="36">
        <f t="shared" si="21"/>
        <v>0</v>
      </c>
      <c r="N201" s="37"/>
      <c r="O201" s="38">
        <f>L201+M201-N201</f>
        <v>0</v>
      </c>
    </row>
    <row r="202" spans="1:15" ht="60" customHeight="1" thickBot="1" x14ac:dyDescent="0.55000000000000004">
      <c r="A202" s="17"/>
      <c r="B202" s="364"/>
      <c r="C202" s="358"/>
      <c r="D202" s="59" t="s">
        <v>14</v>
      </c>
      <c r="E202" s="56"/>
      <c r="F202" s="286"/>
      <c r="G202" s="56"/>
      <c r="H202" s="286"/>
      <c r="I202" s="55"/>
      <c r="J202" s="55"/>
      <c r="K202" s="55"/>
      <c r="L202" s="362"/>
      <c r="M202" s="36">
        <f t="shared" si="21"/>
        <v>0</v>
      </c>
      <c r="N202" s="58"/>
      <c r="O202" s="38">
        <f>L197</f>
        <v>630000</v>
      </c>
    </row>
    <row r="203" spans="1:15" ht="60" customHeight="1" thickBot="1" x14ac:dyDescent="0.55000000000000004">
      <c r="A203" s="17"/>
      <c r="B203" s="365"/>
      <c r="C203" s="359"/>
      <c r="D203" s="41" t="s">
        <v>38</v>
      </c>
      <c r="E203" s="42"/>
      <c r="F203" s="286"/>
      <c r="G203" s="42"/>
      <c r="H203" s="286"/>
      <c r="I203" s="43"/>
      <c r="J203" s="43"/>
      <c r="K203" s="43"/>
      <c r="L203" s="44"/>
      <c r="M203" s="44"/>
      <c r="N203" s="45"/>
      <c r="O203" s="46">
        <f>SUM(O197:O202)</f>
        <v>645000</v>
      </c>
    </row>
    <row r="204" spans="1:15" ht="60" customHeight="1" thickBot="1" x14ac:dyDescent="0.55000000000000004">
      <c r="A204" s="22"/>
      <c r="B204" s="279"/>
      <c r="C204" s="278"/>
      <c r="D204" s="60"/>
      <c r="E204" s="61"/>
      <c r="F204" s="286"/>
      <c r="G204" s="61"/>
      <c r="H204" s="286"/>
      <c r="I204" s="60"/>
      <c r="J204" s="60"/>
      <c r="K204" s="60"/>
      <c r="L204" s="62"/>
      <c r="M204" s="62"/>
      <c r="N204" s="63"/>
      <c r="O204" s="64"/>
    </row>
    <row r="205" spans="1:15" ht="60" customHeight="1" thickBot="1" x14ac:dyDescent="0.35">
      <c r="A205" s="8" t="s">
        <v>3</v>
      </c>
      <c r="B205" s="9" t="s">
        <v>0</v>
      </c>
      <c r="C205" s="11" t="s">
        <v>1</v>
      </c>
      <c r="D205" s="32" t="s">
        <v>34</v>
      </c>
      <c r="E205" s="11" t="s">
        <v>198</v>
      </c>
      <c r="F205" s="286" t="s">
        <v>199</v>
      </c>
      <c r="G205" s="11" t="s">
        <v>197</v>
      </c>
      <c r="H205" s="286" t="s">
        <v>184</v>
      </c>
      <c r="I205" s="10" t="s">
        <v>2</v>
      </c>
      <c r="J205" s="10" t="s">
        <v>39</v>
      </c>
      <c r="K205" s="11" t="s">
        <v>40</v>
      </c>
      <c r="L205" s="13" t="s">
        <v>14</v>
      </c>
      <c r="M205" s="14" t="s">
        <v>15</v>
      </c>
      <c r="N205" s="15" t="s">
        <v>11</v>
      </c>
      <c r="O205" s="16" t="s">
        <v>76</v>
      </c>
    </row>
    <row r="206" spans="1:15" ht="60" customHeight="1" thickBot="1" x14ac:dyDescent="0.55000000000000004">
      <c r="A206" s="17">
        <v>1</v>
      </c>
      <c r="B206" s="363" t="s">
        <v>84</v>
      </c>
      <c r="C206" s="357">
        <v>503</v>
      </c>
      <c r="D206" s="52" t="s">
        <v>35</v>
      </c>
      <c r="E206" s="262">
        <v>3475.68</v>
      </c>
      <c r="F206" s="286">
        <v>46163</v>
      </c>
      <c r="G206" s="262">
        <v>3475.68</v>
      </c>
      <c r="H206" s="286">
        <v>46197</v>
      </c>
      <c r="I206" s="34">
        <f>G206-E206</f>
        <v>0</v>
      </c>
      <c r="J206" s="34"/>
      <c r="K206" s="34">
        <v>257</v>
      </c>
      <c r="L206" s="360">
        <v>104967.66</v>
      </c>
      <c r="M206" s="36">
        <f t="shared" ref="M206:M211" si="22">I206*K206+J206</f>
        <v>0</v>
      </c>
      <c r="N206" s="37">
        <v>0</v>
      </c>
      <c r="O206" s="38">
        <f>M206-N206</f>
        <v>0</v>
      </c>
    </row>
    <row r="207" spans="1:15" ht="60" customHeight="1" thickBot="1" x14ac:dyDescent="0.55000000000000004">
      <c r="A207" s="17"/>
      <c r="B207" s="364"/>
      <c r="C207" s="358"/>
      <c r="D207" s="21" t="s">
        <v>36</v>
      </c>
      <c r="E207" s="261">
        <v>326</v>
      </c>
      <c r="F207" s="286">
        <v>46163</v>
      </c>
      <c r="G207" s="261">
        <v>326</v>
      </c>
      <c r="H207" s="286">
        <v>46197</v>
      </c>
      <c r="I207" s="34">
        <f>G207-E207</f>
        <v>0</v>
      </c>
      <c r="J207" s="34">
        <v>0</v>
      </c>
      <c r="K207" s="20">
        <v>1200</v>
      </c>
      <c r="L207" s="361"/>
      <c r="M207" s="36">
        <f t="shared" si="22"/>
        <v>0</v>
      </c>
      <c r="N207" s="19">
        <v>0</v>
      </c>
      <c r="O207" s="38">
        <f>L207+M207-N207</f>
        <v>0</v>
      </c>
    </row>
    <row r="208" spans="1:15" ht="60" customHeight="1" thickBot="1" x14ac:dyDescent="0.55000000000000004">
      <c r="A208" s="17"/>
      <c r="B208" s="364"/>
      <c r="C208" s="358"/>
      <c r="D208" s="53" t="s">
        <v>37</v>
      </c>
      <c r="E208" s="40">
        <v>0</v>
      </c>
      <c r="F208" s="286">
        <v>46163</v>
      </c>
      <c r="G208" s="40">
        <v>0</v>
      </c>
      <c r="H208" s="286">
        <v>46197</v>
      </c>
      <c r="I208" s="39">
        <v>1</v>
      </c>
      <c r="J208" s="39"/>
      <c r="K208" s="39">
        <v>15000</v>
      </c>
      <c r="L208" s="361"/>
      <c r="M208" s="36">
        <f t="shared" si="22"/>
        <v>15000</v>
      </c>
      <c r="N208" s="23">
        <v>0</v>
      </c>
      <c r="O208" s="38">
        <f>L208+M208-N208</f>
        <v>15000</v>
      </c>
    </row>
    <row r="209" spans="1:15" ht="35.25" customHeight="1" thickBot="1" x14ac:dyDescent="0.55000000000000004">
      <c r="A209" s="17"/>
      <c r="B209" s="364"/>
      <c r="C209" s="358"/>
      <c r="D209" s="59" t="s">
        <v>42</v>
      </c>
      <c r="E209" s="56"/>
      <c r="F209" s="286">
        <v>46163</v>
      </c>
      <c r="G209" s="56"/>
      <c r="H209" s="286">
        <v>46162</v>
      </c>
      <c r="I209" s="55"/>
      <c r="J209" s="55"/>
      <c r="K209" s="55">
        <v>0</v>
      </c>
      <c r="L209" s="361"/>
      <c r="M209" s="36">
        <f t="shared" si="22"/>
        <v>0</v>
      </c>
      <c r="N209" s="58"/>
      <c r="O209" s="38">
        <f>L209+M209-N209</f>
        <v>0</v>
      </c>
    </row>
    <row r="210" spans="1:15" ht="39" customHeight="1" thickBot="1" x14ac:dyDescent="0.55000000000000004">
      <c r="A210" s="17"/>
      <c r="B210" s="364"/>
      <c r="C210" s="358"/>
      <c r="D210" s="52" t="s">
        <v>85</v>
      </c>
      <c r="E210" s="35"/>
      <c r="F210" s="286"/>
      <c r="G210" s="35"/>
      <c r="H210" s="286"/>
      <c r="I210" s="55">
        <v>0</v>
      </c>
      <c r="J210" s="34"/>
      <c r="K210" s="34">
        <v>2000</v>
      </c>
      <c r="L210" s="361"/>
      <c r="M210" s="36">
        <f t="shared" si="22"/>
        <v>0</v>
      </c>
      <c r="N210" s="37"/>
      <c r="O210" s="38">
        <f>L210+M210-N210</f>
        <v>0</v>
      </c>
    </row>
    <row r="211" spans="1:15" ht="39" customHeight="1" thickBot="1" x14ac:dyDescent="0.55000000000000004">
      <c r="A211" s="17"/>
      <c r="B211" s="364"/>
      <c r="C211" s="358"/>
      <c r="D211" s="59" t="s">
        <v>14</v>
      </c>
      <c r="E211" s="56"/>
      <c r="F211" s="286"/>
      <c r="G211" s="56"/>
      <c r="H211" s="286"/>
      <c r="I211" s="55"/>
      <c r="J211" s="55"/>
      <c r="K211" s="55"/>
      <c r="L211" s="362"/>
      <c r="M211" s="36">
        <f t="shared" si="22"/>
        <v>0</v>
      </c>
      <c r="N211" s="58"/>
      <c r="O211" s="38">
        <f>L206</f>
        <v>104967.66</v>
      </c>
    </row>
    <row r="212" spans="1:15" ht="60" customHeight="1" thickBot="1" x14ac:dyDescent="0.55000000000000004">
      <c r="A212" s="17"/>
      <c r="B212" s="365"/>
      <c r="C212" s="359"/>
      <c r="D212" s="41" t="s">
        <v>38</v>
      </c>
      <c r="E212" s="42"/>
      <c r="F212" s="286"/>
      <c r="G212" s="42"/>
      <c r="H212" s="286"/>
      <c r="I212" s="43"/>
      <c r="J212" s="43"/>
      <c r="K212" s="43"/>
      <c r="L212" s="44"/>
      <c r="M212" s="44"/>
      <c r="N212" s="45"/>
      <c r="O212" s="46">
        <f>SUM(O206:O211)</f>
        <v>119967.66</v>
      </c>
    </row>
    <row r="213" spans="1:15" ht="60" customHeight="1" thickBot="1" x14ac:dyDescent="0.55000000000000004">
      <c r="A213" s="22"/>
      <c r="B213" s="279"/>
      <c r="C213" s="278"/>
      <c r="D213" s="60"/>
      <c r="E213" s="61"/>
      <c r="F213" s="286"/>
      <c r="G213" s="61"/>
      <c r="H213" s="286"/>
      <c r="I213" s="60"/>
      <c r="J213" s="60"/>
      <c r="K213" s="60"/>
      <c r="L213" s="62"/>
      <c r="M213" s="62"/>
      <c r="N213" s="63"/>
      <c r="O213" s="64"/>
    </row>
    <row r="214" spans="1:15" ht="60" customHeight="1" thickBot="1" x14ac:dyDescent="0.35">
      <c r="A214" s="8" t="s">
        <v>3</v>
      </c>
      <c r="B214" s="9" t="s">
        <v>0</v>
      </c>
      <c r="C214" s="11" t="s">
        <v>1</v>
      </c>
      <c r="D214" s="32" t="s">
        <v>34</v>
      </c>
      <c r="E214" s="11" t="s">
        <v>198</v>
      </c>
      <c r="F214" s="286" t="s">
        <v>199</v>
      </c>
      <c r="G214" s="11" t="s">
        <v>197</v>
      </c>
      <c r="H214" s="286" t="s">
        <v>184</v>
      </c>
      <c r="I214" s="10" t="s">
        <v>2</v>
      </c>
      <c r="J214" s="10" t="s">
        <v>39</v>
      </c>
      <c r="K214" s="11" t="s">
        <v>40</v>
      </c>
      <c r="L214" s="13" t="s">
        <v>14</v>
      </c>
      <c r="M214" s="14" t="s">
        <v>15</v>
      </c>
      <c r="N214" s="15" t="s">
        <v>11</v>
      </c>
      <c r="O214" s="16" t="s">
        <v>76</v>
      </c>
    </row>
    <row r="215" spans="1:15" ht="60" customHeight="1" thickBot="1" x14ac:dyDescent="0.55000000000000004">
      <c r="A215" s="17">
        <v>1</v>
      </c>
      <c r="B215" s="372" t="s">
        <v>31</v>
      </c>
      <c r="C215" s="375">
        <v>504</v>
      </c>
      <c r="D215" s="52" t="s">
        <v>35</v>
      </c>
      <c r="E215" s="262">
        <v>1629.52</v>
      </c>
      <c r="F215" s="286">
        <v>46163</v>
      </c>
      <c r="G215" s="262">
        <v>1650.37</v>
      </c>
      <c r="H215" s="286">
        <v>46197</v>
      </c>
      <c r="I215" s="34">
        <f>G215-E215</f>
        <v>20.849999999999909</v>
      </c>
      <c r="J215" s="34"/>
      <c r="K215" s="34">
        <v>257</v>
      </c>
      <c r="L215" s="360">
        <v>947.66</v>
      </c>
      <c r="M215" s="36">
        <f t="shared" ref="M215:M220" si="23">I215*K215+J215</f>
        <v>5358.4499999999771</v>
      </c>
      <c r="N215" s="37">
        <v>0</v>
      </c>
      <c r="O215" s="38">
        <f>M215-N215</f>
        <v>5358.4499999999771</v>
      </c>
    </row>
    <row r="216" spans="1:15" ht="60" customHeight="1" thickBot="1" x14ac:dyDescent="0.55000000000000004">
      <c r="A216" s="17"/>
      <c r="B216" s="373"/>
      <c r="C216" s="376"/>
      <c r="D216" s="21" t="s">
        <v>36</v>
      </c>
      <c r="E216" s="261">
        <v>487</v>
      </c>
      <c r="F216" s="286">
        <v>46163</v>
      </c>
      <c r="G216" s="261">
        <v>495</v>
      </c>
      <c r="H216" s="286">
        <v>46197</v>
      </c>
      <c r="I216" s="34">
        <f>G216-E216</f>
        <v>8</v>
      </c>
      <c r="J216" s="34">
        <v>1000</v>
      </c>
      <c r="K216" s="20">
        <v>1200</v>
      </c>
      <c r="L216" s="361"/>
      <c r="M216" s="36">
        <f t="shared" si="23"/>
        <v>10600</v>
      </c>
      <c r="N216" s="19">
        <v>0</v>
      </c>
      <c r="O216" s="38">
        <f>L216+M216-N216</f>
        <v>10600</v>
      </c>
    </row>
    <row r="217" spans="1:15" ht="60" customHeight="1" thickBot="1" x14ac:dyDescent="0.55000000000000004">
      <c r="A217" s="17"/>
      <c r="B217" s="373"/>
      <c r="C217" s="376"/>
      <c r="D217" s="53" t="s">
        <v>37</v>
      </c>
      <c r="E217" s="40">
        <v>0</v>
      </c>
      <c r="F217" s="286">
        <v>46163</v>
      </c>
      <c r="G217" s="40">
        <v>0</v>
      </c>
      <c r="H217" s="286">
        <v>46197</v>
      </c>
      <c r="I217" s="39">
        <v>1</v>
      </c>
      <c r="J217" s="39"/>
      <c r="K217" s="39">
        <v>25000</v>
      </c>
      <c r="L217" s="361"/>
      <c r="M217" s="36">
        <f t="shared" si="23"/>
        <v>25000</v>
      </c>
      <c r="N217" s="23">
        <v>0</v>
      </c>
      <c r="O217" s="38">
        <f>L217+M217-N217</f>
        <v>25000</v>
      </c>
    </row>
    <row r="218" spans="1:15" ht="60" customHeight="1" thickBot="1" x14ac:dyDescent="0.55000000000000004">
      <c r="A218" s="17"/>
      <c r="B218" s="373"/>
      <c r="C218" s="376"/>
      <c r="D218" s="59" t="s">
        <v>42</v>
      </c>
      <c r="E218" s="56"/>
      <c r="F218" s="286">
        <v>46163</v>
      </c>
      <c r="G218" s="56"/>
      <c r="H218" s="286">
        <v>46162</v>
      </c>
      <c r="I218" s="55">
        <v>0</v>
      </c>
      <c r="J218" s="55"/>
      <c r="K218" s="55">
        <v>0</v>
      </c>
      <c r="L218" s="361"/>
      <c r="M218" s="36">
        <f t="shared" si="23"/>
        <v>0</v>
      </c>
      <c r="N218" s="58"/>
      <c r="O218" s="38">
        <f>L218+M218-N218</f>
        <v>0</v>
      </c>
    </row>
    <row r="219" spans="1:15" ht="60" customHeight="1" thickBot="1" x14ac:dyDescent="0.55000000000000004">
      <c r="A219" s="17"/>
      <c r="B219" s="373"/>
      <c r="C219" s="376"/>
      <c r="D219" s="52" t="s">
        <v>85</v>
      </c>
      <c r="E219" s="35"/>
      <c r="F219" s="286"/>
      <c r="G219" s="35"/>
      <c r="H219" s="286"/>
      <c r="I219" s="55">
        <v>1</v>
      </c>
      <c r="J219" s="34"/>
      <c r="K219" s="34">
        <v>2000</v>
      </c>
      <c r="L219" s="361"/>
      <c r="M219" s="36">
        <f t="shared" si="23"/>
        <v>2000</v>
      </c>
      <c r="N219" s="37"/>
      <c r="O219" s="38">
        <f>L219+M219-N219</f>
        <v>2000</v>
      </c>
    </row>
    <row r="220" spans="1:15" ht="60" customHeight="1" thickBot="1" x14ac:dyDescent="0.55000000000000004">
      <c r="A220" s="17"/>
      <c r="B220" s="373"/>
      <c r="C220" s="376"/>
      <c r="D220" s="59" t="s">
        <v>14</v>
      </c>
      <c r="E220" s="56"/>
      <c r="F220" s="286"/>
      <c r="G220" s="56"/>
      <c r="H220" s="286"/>
      <c r="I220" s="55"/>
      <c r="J220" s="55"/>
      <c r="K220" s="55"/>
      <c r="L220" s="362"/>
      <c r="M220" s="36">
        <f t="shared" si="23"/>
        <v>0</v>
      </c>
      <c r="N220" s="58"/>
      <c r="O220" s="38">
        <f>L215</f>
        <v>947.66</v>
      </c>
    </row>
    <row r="221" spans="1:15" ht="60" customHeight="1" thickBot="1" x14ac:dyDescent="0.55000000000000004">
      <c r="A221" s="256"/>
      <c r="B221" s="374"/>
      <c r="C221" s="377"/>
      <c r="D221" s="41" t="s">
        <v>38</v>
      </c>
      <c r="E221" s="42"/>
      <c r="F221" s="286"/>
      <c r="G221" s="42"/>
      <c r="H221" s="286"/>
      <c r="I221" s="43"/>
      <c r="J221" s="43"/>
      <c r="K221" s="43"/>
      <c r="L221" s="44"/>
      <c r="M221" s="44"/>
      <c r="N221" s="45"/>
      <c r="O221" s="46">
        <f>SUM(O215:O220)</f>
        <v>43906.109999999979</v>
      </c>
    </row>
    <row r="222" spans="1:15" ht="60" customHeight="1" thickBot="1" x14ac:dyDescent="0.55000000000000004">
      <c r="A222" s="285"/>
      <c r="B222" s="281"/>
      <c r="C222" s="282"/>
      <c r="D222" s="60"/>
      <c r="E222" s="61"/>
      <c r="F222" s="286"/>
      <c r="G222" s="61"/>
      <c r="H222" s="286"/>
      <c r="I222" s="60"/>
      <c r="J222" s="60"/>
      <c r="K222" s="60"/>
      <c r="L222" s="62"/>
      <c r="M222" s="62"/>
      <c r="N222" s="63"/>
      <c r="O222" s="64"/>
    </row>
    <row r="223" spans="1:15" ht="60" customHeight="1" thickBot="1" x14ac:dyDescent="0.35">
      <c r="A223" s="8" t="s">
        <v>3</v>
      </c>
      <c r="B223" s="9" t="s">
        <v>0</v>
      </c>
      <c r="C223" s="11" t="s">
        <v>1</v>
      </c>
      <c r="D223" s="32" t="s">
        <v>34</v>
      </c>
      <c r="E223" s="11" t="s">
        <v>198</v>
      </c>
      <c r="F223" s="286" t="s">
        <v>199</v>
      </c>
      <c r="G223" s="11" t="s">
        <v>197</v>
      </c>
      <c r="H223" s="286" t="s">
        <v>184</v>
      </c>
      <c r="I223" s="10" t="s">
        <v>2</v>
      </c>
      <c r="J223" s="10" t="s">
        <v>39</v>
      </c>
      <c r="K223" s="11" t="s">
        <v>40</v>
      </c>
      <c r="L223" s="13" t="s">
        <v>14</v>
      </c>
      <c r="M223" s="14" t="s">
        <v>15</v>
      </c>
      <c r="N223" s="15" t="s">
        <v>11</v>
      </c>
      <c r="O223" s="16" t="s">
        <v>76</v>
      </c>
    </row>
    <row r="224" spans="1:15" ht="60" customHeight="1" thickBot="1" x14ac:dyDescent="0.55000000000000004">
      <c r="A224" s="17">
        <v>1</v>
      </c>
      <c r="B224" s="363" t="s">
        <v>54</v>
      </c>
      <c r="C224" s="357">
        <v>505</v>
      </c>
      <c r="D224" s="52" t="s">
        <v>35</v>
      </c>
      <c r="E224" s="262">
        <v>6724.85</v>
      </c>
      <c r="F224" s="286">
        <v>46163</v>
      </c>
      <c r="G224" s="262">
        <v>6758.95</v>
      </c>
      <c r="H224" s="286">
        <v>46197</v>
      </c>
      <c r="I224" s="34">
        <f>G224-E224</f>
        <v>34.099999999999454</v>
      </c>
      <c r="J224" s="34"/>
      <c r="K224" s="34">
        <v>257</v>
      </c>
      <c r="L224" s="360">
        <v>-29.29</v>
      </c>
      <c r="M224" s="36">
        <f t="shared" ref="M224:M229" si="24">I224*K224+J224</f>
        <v>8763.6999999998588</v>
      </c>
      <c r="N224" s="37">
        <v>0</v>
      </c>
      <c r="O224" s="38">
        <f>M224-N224</f>
        <v>8763.6999999998588</v>
      </c>
    </row>
    <row r="225" spans="1:15" s="353" customFormat="1" ht="60" customHeight="1" thickBot="1" x14ac:dyDescent="0.55000000000000004">
      <c r="A225" s="344"/>
      <c r="B225" s="364"/>
      <c r="C225" s="358"/>
      <c r="D225" s="345" t="s">
        <v>36</v>
      </c>
      <c r="E225" s="346">
        <v>749</v>
      </c>
      <c r="F225" s="347">
        <v>46163</v>
      </c>
      <c r="G225" s="346">
        <v>760</v>
      </c>
      <c r="H225" s="347">
        <v>46197</v>
      </c>
      <c r="I225" s="348">
        <f>G225-E225</f>
        <v>11</v>
      </c>
      <c r="J225" s="348">
        <v>1000</v>
      </c>
      <c r="K225" s="349">
        <v>1200</v>
      </c>
      <c r="L225" s="361"/>
      <c r="M225" s="350">
        <f t="shared" si="24"/>
        <v>14200</v>
      </c>
      <c r="N225" s="351">
        <v>0</v>
      </c>
      <c r="O225" s="352">
        <f>L225+M225-N225</f>
        <v>14200</v>
      </c>
    </row>
    <row r="226" spans="1:15" ht="60" customHeight="1" thickBot="1" x14ac:dyDescent="0.55000000000000004">
      <c r="A226" s="17"/>
      <c r="B226" s="364"/>
      <c r="C226" s="358"/>
      <c r="D226" s="53" t="s">
        <v>37</v>
      </c>
      <c r="E226" s="40">
        <v>0</v>
      </c>
      <c r="F226" s="286">
        <v>46163</v>
      </c>
      <c r="G226" s="40">
        <v>0</v>
      </c>
      <c r="H226" s="286">
        <v>46197</v>
      </c>
      <c r="I226" s="39">
        <v>1</v>
      </c>
      <c r="J226" s="39"/>
      <c r="K226" s="39">
        <v>25000</v>
      </c>
      <c r="L226" s="361"/>
      <c r="M226" s="36">
        <f t="shared" si="24"/>
        <v>25000</v>
      </c>
      <c r="N226" s="23">
        <v>0</v>
      </c>
      <c r="O226" s="38">
        <f>L226+M226-N226</f>
        <v>25000</v>
      </c>
    </row>
    <row r="227" spans="1:15" ht="60" customHeight="1" thickBot="1" x14ac:dyDescent="0.55000000000000004">
      <c r="A227" s="17"/>
      <c r="B227" s="364"/>
      <c r="C227" s="358"/>
      <c r="D227" s="59" t="s">
        <v>42</v>
      </c>
      <c r="E227" s="56"/>
      <c r="F227" s="286"/>
      <c r="G227" s="56"/>
      <c r="H227" s="286"/>
      <c r="I227" s="55"/>
      <c r="J227" s="55"/>
      <c r="K227" s="55">
        <v>0</v>
      </c>
      <c r="L227" s="361"/>
      <c r="M227" s="36">
        <f t="shared" si="24"/>
        <v>0</v>
      </c>
      <c r="N227" s="58"/>
      <c r="O227" s="38">
        <f>L227+M227-N227</f>
        <v>0</v>
      </c>
    </row>
    <row r="228" spans="1:15" ht="60" customHeight="1" thickBot="1" x14ac:dyDescent="0.55000000000000004">
      <c r="A228" s="17"/>
      <c r="B228" s="364"/>
      <c r="C228" s="358"/>
      <c r="D228" s="52" t="s">
        <v>85</v>
      </c>
      <c r="E228" s="35"/>
      <c r="F228" s="286"/>
      <c r="G228" s="35"/>
      <c r="H228" s="286"/>
      <c r="I228" s="55">
        <v>1</v>
      </c>
      <c r="J228" s="34"/>
      <c r="K228" s="34">
        <v>2000</v>
      </c>
      <c r="L228" s="361"/>
      <c r="M228" s="36">
        <f t="shared" si="24"/>
        <v>2000</v>
      </c>
      <c r="N228" s="37"/>
      <c r="O228" s="38">
        <f>L228+M228-N228</f>
        <v>2000</v>
      </c>
    </row>
    <row r="229" spans="1:15" ht="60" customHeight="1" thickBot="1" x14ac:dyDescent="0.55000000000000004">
      <c r="A229" s="17"/>
      <c r="B229" s="364"/>
      <c r="C229" s="358"/>
      <c r="D229" s="59" t="s">
        <v>14</v>
      </c>
      <c r="E229" s="56"/>
      <c r="F229" s="286"/>
      <c r="G229" s="56"/>
      <c r="H229" s="286"/>
      <c r="I229" s="55"/>
      <c r="J229" s="55"/>
      <c r="K229" s="55"/>
      <c r="L229" s="362"/>
      <c r="M229" s="36">
        <f t="shared" si="24"/>
        <v>0</v>
      </c>
      <c r="N229" s="58"/>
      <c r="O229" s="38">
        <f>L224</f>
        <v>-29.29</v>
      </c>
    </row>
    <row r="230" spans="1:15" ht="60" customHeight="1" thickBot="1" x14ac:dyDescent="0.55000000000000004">
      <c r="A230" s="17"/>
      <c r="B230" s="365"/>
      <c r="C230" s="359"/>
      <c r="D230" s="41" t="s">
        <v>38</v>
      </c>
      <c r="E230" s="42"/>
      <c r="F230" s="286"/>
      <c r="G230" s="42"/>
      <c r="H230" s="286"/>
      <c r="I230" s="43"/>
      <c r="J230" s="43"/>
      <c r="K230" s="43"/>
      <c r="L230" s="44"/>
      <c r="M230" s="44"/>
      <c r="N230" s="45"/>
      <c r="O230" s="46">
        <f>SUM(O224:O229)</f>
        <v>49934.409999999858</v>
      </c>
    </row>
    <row r="231" spans="1:15" ht="60" customHeight="1" thickBot="1" x14ac:dyDescent="0.55000000000000004">
      <c r="A231" s="22"/>
      <c r="B231" s="279"/>
      <c r="C231" s="278"/>
      <c r="D231" s="60"/>
      <c r="E231" s="61"/>
      <c r="F231" s="286"/>
      <c r="G231" s="61"/>
      <c r="H231" s="286"/>
      <c r="I231" s="60"/>
      <c r="J231" s="60"/>
      <c r="K231" s="60"/>
      <c r="L231" s="62"/>
      <c r="M231" s="62"/>
      <c r="N231" s="63"/>
      <c r="O231" s="64"/>
    </row>
    <row r="232" spans="1:15" ht="60" customHeight="1" thickBot="1" x14ac:dyDescent="0.35">
      <c r="A232" s="8" t="s">
        <v>3</v>
      </c>
      <c r="B232" s="9" t="s">
        <v>0</v>
      </c>
      <c r="C232" s="11" t="s">
        <v>1</v>
      </c>
      <c r="D232" s="32" t="s">
        <v>34</v>
      </c>
      <c r="E232" s="11" t="s">
        <v>198</v>
      </c>
      <c r="F232" s="286" t="s">
        <v>199</v>
      </c>
      <c r="G232" s="11" t="s">
        <v>197</v>
      </c>
      <c r="H232" s="286" t="s">
        <v>184</v>
      </c>
      <c r="I232" s="10" t="s">
        <v>2</v>
      </c>
      <c r="J232" s="10" t="s">
        <v>39</v>
      </c>
      <c r="K232" s="11" t="s">
        <v>40</v>
      </c>
      <c r="L232" s="13" t="s">
        <v>14</v>
      </c>
      <c r="M232" s="14" t="s">
        <v>15</v>
      </c>
      <c r="N232" s="15" t="s">
        <v>11</v>
      </c>
      <c r="O232" s="16" t="s">
        <v>76</v>
      </c>
    </row>
    <row r="233" spans="1:15" ht="60" customHeight="1" thickBot="1" x14ac:dyDescent="0.55000000000000004">
      <c r="A233" s="17">
        <v>1</v>
      </c>
      <c r="B233" s="354" t="s">
        <v>7</v>
      </c>
      <c r="C233" s="357">
        <v>601</v>
      </c>
      <c r="D233" s="52" t="s">
        <v>35</v>
      </c>
      <c r="E233" s="262">
        <v>6576.5</v>
      </c>
      <c r="F233" s="286">
        <v>46163</v>
      </c>
      <c r="G233" s="262">
        <v>6615.77</v>
      </c>
      <c r="H233" s="286">
        <v>46197</v>
      </c>
      <c r="I233" s="34">
        <f>G233-E233</f>
        <v>39.270000000000437</v>
      </c>
      <c r="J233" s="34"/>
      <c r="K233" s="34">
        <v>257</v>
      </c>
      <c r="L233" s="360">
        <v>623.01</v>
      </c>
      <c r="M233" s="36">
        <f t="shared" ref="M233:M238" si="25">I233*K233+J233</f>
        <v>10092.390000000112</v>
      </c>
      <c r="N233" s="37">
        <v>0</v>
      </c>
      <c r="O233" s="38">
        <f>M233-N233</f>
        <v>10092.390000000112</v>
      </c>
    </row>
    <row r="234" spans="1:15" ht="60" customHeight="1" thickBot="1" x14ac:dyDescent="0.55000000000000004">
      <c r="A234" s="17"/>
      <c r="B234" s="355"/>
      <c r="C234" s="358"/>
      <c r="D234" s="21" t="s">
        <v>36</v>
      </c>
      <c r="E234" s="261">
        <v>773</v>
      </c>
      <c r="F234" s="286">
        <v>46163</v>
      </c>
      <c r="G234" s="261">
        <v>786</v>
      </c>
      <c r="H234" s="286">
        <v>46197</v>
      </c>
      <c r="I234" s="34">
        <f>G234-E234</f>
        <v>13</v>
      </c>
      <c r="J234" s="34">
        <v>1000</v>
      </c>
      <c r="K234" s="20">
        <v>1200</v>
      </c>
      <c r="L234" s="361"/>
      <c r="M234" s="36">
        <f t="shared" si="25"/>
        <v>16600</v>
      </c>
      <c r="N234" s="19">
        <v>0</v>
      </c>
      <c r="O234" s="38">
        <f>L234+M234-N234</f>
        <v>16600</v>
      </c>
    </row>
    <row r="235" spans="1:15" ht="60" customHeight="1" thickBot="1" x14ac:dyDescent="0.55000000000000004">
      <c r="A235" s="17"/>
      <c r="B235" s="355"/>
      <c r="C235" s="358"/>
      <c r="D235" s="53" t="s">
        <v>37</v>
      </c>
      <c r="E235" s="40">
        <v>0</v>
      </c>
      <c r="F235" s="286">
        <v>46163</v>
      </c>
      <c r="G235" s="40">
        <v>0</v>
      </c>
      <c r="H235" s="286">
        <v>46197</v>
      </c>
      <c r="I235" s="39">
        <v>1</v>
      </c>
      <c r="J235" s="39"/>
      <c r="K235" s="39">
        <v>25000</v>
      </c>
      <c r="L235" s="361"/>
      <c r="M235" s="36">
        <f t="shared" si="25"/>
        <v>25000</v>
      </c>
      <c r="N235" s="23">
        <v>0</v>
      </c>
      <c r="O235" s="38">
        <f>L235+M235-N235</f>
        <v>25000</v>
      </c>
    </row>
    <row r="236" spans="1:15" ht="28.5" customHeight="1" thickBot="1" x14ac:dyDescent="0.55000000000000004">
      <c r="A236" s="17"/>
      <c r="B236" s="355"/>
      <c r="C236" s="358"/>
      <c r="D236" s="59" t="s">
        <v>42</v>
      </c>
      <c r="E236" s="56"/>
      <c r="F236" s="286">
        <v>46163</v>
      </c>
      <c r="G236" s="56"/>
      <c r="H236" s="286">
        <v>46162</v>
      </c>
      <c r="I236" s="55">
        <v>0</v>
      </c>
      <c r="J236" s="55"/>
      <c r="K236" s="55">
        <v>0</v>
      </c>
      <c r="L236" s="361"/>
      <c r="M236" s="36">
        <f t="shared" si="25"/>
        <v>0</v>
      </c>
      <c r="N236" s="58"/>
      <c r="O236" s="38">
        <f>L236+M236-N236</f>
        <v>0</v>
      </c>
    </row>
    <row r="237" spans="1:15" ht="37.5" customHeight="1" thickBot="1" x14ac:dyDescent="0.55000000000000004">
      <c r="A237" s="17"/>
      <c r="B237" s="355"/>
      <c r="C237" s="358"/>
      <c r="D237" s="52" t="s">
        <v>85</v>
      </c>
      <c r="E237" s="35"/>
      <c r="F237" s="286"/>
      <c r="G237" s="35"/>
      <c r="H237" s="286"/>
      <c r="I237" s="55">
        <v>1</v>
      </c>
      <c r="J237" s="34"/>
      <c r="K237" s="34">
        <v>2000</v>
      </c>
      <c r="L237" s="361"/>
      <c r="M237" s="36">
        <f t="shared" si="25"/>
        <v>2000</v>
      </c>
      <c r="N237" s="37"/>
      <c r="O237" s="38">
        <f>L237+M237-N237</f>
        <v>2000</v>
      </c>
    </row>
    <row r="238" spans="1:15" ht="33.75" customHeight="1" thickBot="1" x14ac:dyDescent="0.55000000000000004">
      <c r="A238" s="17"/>
      <c r="B238" s="355"/>
      <c r="C238" s="358"/>
      <c r="D238" s="59" t="s">
        <v>14</v>
      </c>
      <c r="E238" s="56"/>
      <c r="F238" s="286"/>
      <c r="G238" s="56"/>
      <c r="H238" s="286"/>
      <c r="I238" s="55"/>
      <c r="J238" s="55"/>
      <c r="K238" s="55"/>
      <c r="L238" s="362"/>
      <c r="M238" s="36">
        <f t="shared" si="25"/>
        <v>0</v>
      </c>
      <c r="N238" s="58"/>
      <c r="O238" s="38">
        <f>L233</f>
        <v>623.01</v>
      </c>
    </row>
    <row r="239" spans="1:15" ht="60" customHeight="1" thickBot="1" x14ac:dyDescent="0.55000000000000004">
      <c r="A239" s="17"/>
      <c r="B239" s="356"/>
      <c r="C239" s="359"/>
      <c r="D239" s="41" t="s">
        <v>38</v>
      </c>
      <c r="E239" s="42"/>
      <c r="F239" s="286"/>
      <c r="G239" s="42"/>
      <c r="H239" s="286"/>
      <c r="I239" s="43"/>
      <c r="J239" s="43"/>
      <c r="K239" s="43"/>
      <c r="L239" s="44"/>
      <c r="M239" s="44"/>
      <c r="N239" s="45"/>
      <c r="O239" s="46">
        <f>SUM(O233:O238)</f>
        <v>54315.400000000118</v>
      </c>
    </row>
    <row r="240" spans="1:15" ht="60" customHeight="1" thickBot="1" x14ac:dyDescent="0.35">
      <c r="A240" s="8" t="s">
        <v>3</v>
      </c>
      <c r="B240" s="9" t="s">
        <v>0</v>
      </c>
      <c r="C240" s="11" t="s">
        <v>1</v>
      </c>
      <c r="D240" s="32" t="s">
        <v>34</v>
      </c>
      <c r="E240" s="11" t="s">
        <v>198</v>
      </c>
      <c r="F240" s="286" t="s">
        <v>199</v>
      </c>
      <c r="G240" s="11" t="s">
        <v>197</v>
      </c>
      <c r="H240" s="286" t="s">
        <v>184</v>
      </c>
      <c r="I240" s="10" t="s">
        <v>2</v>
      </c>
      <c r="J240" s="10" t="s">
        <v>39</v>
      </c>
      <c r="K240" s="11" t="s">
        <v>40</v>
      </c>
      <c r="L240" s="13" t="s">
        <v>14</v>
      </c>
      <c r="M240" s="14" t="s">
        <v>15</v>
      </c>
      <c r="N240" s="15" t="s">
        <v>11</v>
      </c>
      <c r="O240" s="16" t="s">
        <v>76</v>
      </c>
    </row>
    <row r="241" spans="1:15" ht="60" customHeight="1" thickBot="1" x14ac:dyDescent="0.55000000000000004">
      <c r="A241" s="17">
        <v>1</v>
      </c>
      <c r="B241" s="354" t="s">
        <v>21</v>
      </c>
      <c r="C241" s="357">
        <v>602</v>
      </c>
      <c r="D241" s="52" t="s">
        <v>35</v>
      </c>
      <c r="E241" s="262">
        <v>2136.66</v>
      </c>
      <c r="F241" s="286">
        <v>46163</v>
      </c>
      <c r="G241" s="262">
        <v>2136.66</v>
      </c>
      <c r="H241" s="286">
        <v>46197</v>
      </c>
      <c r="I241" s="34">
        <f>G241-E241</f>
        <v>0</v>
      </c>
      <c r="J241" s="34"/>
      <c r="K241" s="34">
        <v>257</v>
      </c>
      <c r="L241" s="360">
        <v>226791.22</v>
      </c>
      <c r="M241" s="36">
        <f t="shared" ref="M241:M246" si="26">I241*K241+J241</f>
        <v>0</v>
      </c>
      <c r="N241" s="37">
        <v>0</v>
      </c>
      <c r="O241" s="38">
        <f>M241-N241</f>
        <v>0</v>
      </c>
    </row>
    <row r="242" spans="1:15" ht="60" customHeight="1" thickBot="1" x14ac:dyDescent="0.55000000000000004">
      <c r="A242" s="17"/>
      <c r="B242" s="355"/>
      <c r="C242" s="358"/>
      <c r="D242" s="21" t="s">
        <v>36</v>
      </c>
      <c r="E242" s="261">
        <v>210</v>
      </c>
      <c r="F242" s="286">
        <v>46163</v>
      </c>
      <c r="G242" s="261">
        <v>210</v>
      </c>
      <c r="H242" s="286">
        <v>46197</v>
      </c>
      <c r="I242" s="34">
        <f>G242-E242</f>
        <v>0</v>
      </c>
      <c r="J242" s="34">
        <v>0</v>
      </c>
      <c r="K242" s="20">
        <v>1200</v>
      </c>
      <c r="L242" s="361"/>
      <c r="M242" s="36">
        <f t="shared" si="26"/>
        <v>0</v>
      </c>
      <c r="N242" s="19">
        <v>0</v>
      </c>
      <c r="O242" s="38">
        <f>L242+M242-N242</f>
        <v>0</v>
      </c>
    </row>
    <row r="243" spans="1:15" ht="60" customHeight="1" thickBot="1" x14ac:dyDescent="0.55000000000000004">
      <c r="A243" s="17"/>
      <c r="B243" s="355"/>
      <c r="C243" s="358"/>
      <c r="D243" s="53" t="s">
        <v>37</v>
      </c>
      <c r="E243" s="40">
        <v>0</v>
      </c>
      <c r="F243" s="286">
        <v>46163</v>
      </c>
      <c r="G243" s="40">
        <v>0</v>
      </c>
      <c r="H243" s="286">
        <v>46197</v>
      </c>
      <c r="I243" s="39">
        <v>1</v>
      </c>
      <c r="J243" s="39"/>
      <c r="K243" s="66">
        <v>15000</v>
      </c>
      <c r="L243" s="361"/>
      <c r="M243" s="36">
        <f t="shared" si="26"/>
        <v>15000</v>
      </c>
      <c r="N243" s="23">
        <v>0</v>
      </c>
      <c r="O243" s="38">
        <f>L243+M243-N243</f>
        <v>15000</v>
      </c>
    </row>
    <row r="244" spans="1:15" ht="60" customHeight="1" thickBot="1" x14ac:dyDescent="0.55000000000000004">
      <c r="A244" s="17"/>
      <c r="B244" s="355"/>
      <c r="C244" s="358"/>
      <c r="D244" s="59" t="s">
        <v>42</v>
      </c>
      <c r="E244" s="56"/>
      <c r="F244" s="286"/>
      <c r="G244" s="56"/>
      <c r="H244" s="286"/>
      <c r="I244" s="55"/>
      <c r="J244" s="55"/>
      <c r="K244" s="55">
        <v>0</v>
      </c>
      <c r="L244" s="361"/>
      <c r="M244" s="36">
        <f t="shared" si="26"/>
        <v>0</v>
      </c>
      <c r="N244" s="58"/>
      <c r="O244" s="38">
        <f>L244+M244-N244</f>
        <v>0</v>
      </c>
    </row>
    <row r="245" spans="1:15" ht="60" customHeight="1" thickBot="1" x14ac:dyDescent="0.55000000000000004">
      <c r="A245" s="17"/>
      <c r="B245" s="355"/>
      <c r="C245" s="358"/>
      <c r="D245" s="52" t="s">
        <v>85</v>
      </c>
      <c r="E245" s="35"/>
      <c r="F245" s="286"/>
      <c r="G245" s="35"/>
      <c r="H245" s="286"/>
      <c r="I245" s="55">
        <v>0</v>
      </c>
      <c r="J245" s="34"/>
      <c r="K245" s="34">
        <v>2000</v>
      </c>
      <c r="L245" s="361"/>
      <c r="M245" s="36">
        <f t="shared" si="26"/>
        <v>0</v>
      </c>
      <c r="N245" s="37"/>
      <c r="O245" s="38">
        <f>L245+M245-N245</f>
        <v>0</v>
      </c>
    </row>
    <row r="246" spans="1:15" ht="60" customHeight="1" thickBot="1" x14ac:dyDescent="0.55000000000000004">
      <c r="A246" s="17"/>
      <c r="B246" s="355"/>
      <c r="C246" s="358"/>
      <c r="D246" s="59" t="s">
        <v>14</v>
      </c>
      <c r="E246" s="56"/>
      <c r="F246" s="286"/>
      <c r="G246" s="56"/>
      <c r="H246" s="286"/>
      <c r="I246" s="55"/>
      <c r="J246" s="55"/>
      <c r="K246" s="55"/>
      <c r="L246" s="362"/>
      <c r="M246" s="36">
        <f t="shared" si="26"/>
        <v>0</v>
      </c>
      <c r="N246" s="58"/>
      <c r="O246" s="38">
        <f>L241</f>
        <v>226791.22</v>
      </c>
    </row>
    <row r="247" spans="1:15" ht="60" customHeight="1" thickBot="1" x14ac:dyDescent="0.55000000000000004">
      <c r="A247" s="17"/>
      <c r="B247" s="356"/>
      <c r="C247" s="359"/>
      <c r="D247" s="41" t="s">
        <v>38</v>
      </c>
      <c r="E247" s="42"/>
      <c r="F247" s="286"/>
      <c r="G247" s="42"/>
      <c r="H247" s="286"/>
      <c r="I247" s="43"/>
      <c r="J247" s="43"/>
      <c r="K247" s="43"/>
      <c r="L247" s="44"/>
      <c r="M247" s="44"/>
      <c r="N247" s="45"/>
      <c r="O247" s="46">
        <f>SUM(O241:O246)</f>
        <v>241791.22</v>
      </c>
    </row>
    <row r="248" spans="1:15" ht="60" customHeight="1" thickBot="1" x14ac:dyDescent="0.35">
      <c r="A248" s="8" t="s">
        <v>3</v>
      </c>
      <c r="B248" s="9" t="s">
        <v>0</v>
      </c>
      <c r="C248" s="11" t="s">
        <v>1</v>
      </c>
      <c r="D248" s="32" t="s">
        <v>34</v>
      </c>
      <c r="E248" s="11" t="s">
        <v>198</v>
      </c>
      <c r="F248" s="286" t="s">
        <v>199</v>
      </c>
      <c r="G248" s="11" t="s">
        <v>197</v>
      </c>
      <c r="H248" s="286" t="s">
        <v>184</v>
      </c>
      <c r="I248" s="10" t="s">
        <v>2</v>
      </c>
      <c r="J248" s="10" t="s">
        <v>39</v>
      </c>
      <c r="K248" s="11" t="s">
        <v>40</v>
      </c>
      <c r="L248" s="13" t="s">
        <v>14</v>
      </c>
      <c r="M248" s="14" t="s">
        <v>15</v>
      </c>
      <c r="N248" s="15" t="s">
        <v>11</v>
      </c>
      <c r="O248" s="16" t="s">
        <v>76</v>
      </c>
    </row>
    <row r="249" spans="1:15" ht="60" customHeight="1" thickBot="1" x14ac:dyDescent="0.55000000000000004">
      <c r="A249" s="17">
        <v>1</v>
      </c>
      <c r="B249" s="354" t="s">
        <v>55</v>
      </c>
      <c r="C249" s="357">
        <v>603</v>
      </c>
      <c r="D249" s="52" t="s">
        <v>35</v>
      </c>
      <c r="E249" s="262">
        <v>5383.58</v>
      </c>
      <c r="F249" s="286">
        <v>46163</v>
      </c>
      <c r="G249" s="262">
        <v>5480.73</v>
      </c>
      <c r="H249" s="286">
        <v>46197</v>
      </c>
      <c r="I249" s="34">
        <f>G249-E249</f>
        <v>97.149999999999636</v>
      </c>
      <c r="J249" s="34"/>
      <c r="K249" s="34">
        <v>257</v>
      </c>
      <c r="L249" s="360">
        <v>-8.2799999999999994</v>
      </c>
      <c r="M249" s="36">
        <f t="shared" ref="M249:M254" si="27">I249*K249+J249</f>
        <v>24967.549999999908</v>
      </c>
      <c r="N249" s="37">
        <v>0</v>
      </c>
      <c r="O249" s="38">
        <f>M249-N249</f>
        <v>24967.549999999908</v>
      </c>
    </row>
    <row r="250" spans="1:15" ht="60" customHeight="1" thickBot="1" x14ac:dyDescent="0.55000000000000004">
      <c r="A250" s="17"/>
      <c r="B250" s="355"/>
      <c r="C250" s="358"/>
      <c r="D250" s="21" t="s">
        <v>36</v>
      </c>
      <c r="E250" s="261">
        <v>472</v>
      </c>
      <c r="F250" s="286">
        <v>46163</v>
      </c>
      <c r="G250" s="261">
        <v>483</v>
      </c>
      <c r="H250" s="286">
        <v>46197</v>
      </c>
      <c r="I250" s="34">
        <f>G250-E250</f>
        <v>11</v>
      </c>
      <c r="J250" s="34">
        <v>1000</v>
      </c>
      <c r="K250" s="20">
        <v>1200</v>
      </c>
      <c r="L250" s="361"/>
      <c r="M250" s="36">
        <f t="shared" si="27"/>
        <v>14200</v>
      </c>
      <c r="N250" s="19">
        <v>0</v>
      </c>
      <c r="O250" s="38">
        <f>L250+M250-N250</f>
        <v>14200</v>
      </c>
    </row>
    <row r="251" spans="1:15" ht="60" customHeight="1" thickBot="1" x14ac:dyDescent="0.55000000000000004">
      <c r="A251" s="17"/>
      <c r="B251" s="355"/>
      <c r="C251" s="358"/>
      <c r="D251" s="53" t="s">
        <v>37</v>
      </c>
      <c r="E251" s="40">
        <v>0</v>
      </c>
      <c r="F251" s="286">
        <v>46163</v>
      </c>
      <c r="G251" s="40">
        <v>0</v>
      </c>
      <c r="H251" s="286">
        <v>46197</v>
      </c>
      <c r="I251" s="39">
        <v>1</v>
      </c>
      <c r="J251" s="39"/>
      <c r="K251" s="39">
        <v>25000</v>
      </c>
      <c r="L251" s="361"/>
      <c r="M251" s="36">
        <f t="shared" si="27"/>
        <v>25000</v>
      </c>
      <c r="N251" s="23">
        <v>0</v>
      </c>
      <c r="O251" s="38">
        <f>L251+M251-N251</f>
        <v>25000</v>
      </c>
    </row>
    <row r="252" spans="1:15" ht="60" customHeight="1" thickBot="1" x14ac:dyDescent="0.55000000000000004">
      <c r="A252" s="17"/>
      <c r="B252" s="355"/>
      <c r="C252" s="358"/>
      <c r="D252" s="59" t="s">
        <v>42</v>
      </c>
      <c r="E252" s="56"/>
      <c r="F252" s="286"/>
      <c r="G252" s="56"/>
      <c r="H252" s="286"/>
      <c r="I252" s="55">
        <v>0</v>
      </c>
      <c r="J252" s="55"/>
      <c r="K252" s="55">
        <v>0</v>
      </c>
      <c r="L252" s="361"/>
      <c r="M252" s="36">
        <f t="shared" si="27"/>
        <v>0</v>
      </c>
      <c r="N252" s="58"/>
      <c r="O252" s="38">
        <f>L252+M252-N252</f>
        <v>0</v>
      </c>
    </row>
    <row r="253" spans="1:15" ht="60" customHeight="1" thickBot="1" x14ac:dyDescent="0.55000000000000004">
      <c r="A253" s="17"/>
      <c r="B253" s="355"/>
      <c r="C253" s="358"/>
      <c r="D253" s="52" t="s">
        <v>85</v>
      </c>
      <c r="E253" s="35"/>
      <c r="F253" s="286"/>
      <c r="G253" s="35"/>
      <c r="H253" s="286"/>
      <c r="I253" s="55">
        <v>1</v>
      </c>
      <c r="J253" s="34"/>
      <c r="K253" s="34">
        <v>2000</v>
      </c>
      <c r="L253" s="361"/>
      <c r="M253" s="36">
        <f t="shared" si="27"/>
        <v>2000</v>
      </c>
      <c r="N253" s="37"/>
      <c r="O253" s="38">
        <f>L253+M253-N253</f>
        <v>2000</v>
      </c>
    </row>
    <row r="254" spans="1:15" ht="60" customHeight="1" thickBot="1" x14ac:dyDescent="0.55000000000000004">
      <c r="A254" s="17"/>
      <c r="B254" s="355"/>
      <c r="C254" s="358"/>
      <c r="D254" s="59" t="s">
        <v>14</v>
      </c>
      <c r="E254" s="56"/>
      <c r="F254" s="286"/>
      <c r="G254" s="56"/>
      <c r="H254" s="286"/>
      <c r="I254" s="55"/>
      <c r="J254" s="55"/>
      <c r="K254" s="55"/>
      <c r="L254" s="362"/>
      <c r="M254" s="36">
        <f t="shared" si="27"/>
        <v>0</v>
      </c>
      <c r="N254" s="58"/>
      <c r="O254" s="38">
        <f>L249</f>
        <v>-8.2799999999999994</v>
      </c>
    </row>
    <row r="255" spans="1:15" ht="60" customHeight="1" thickBot="1" x14ac:dyDescent="0.55000000000000004">
      <c r="A255" s="17"/>
      <c r="B255" s="356"/>
      <c r="C255" s="359"/>
      <c r="D255" s="41" t="s">
        <v>38</v>
      </c>
      <c r="E255" s="42"/>
      <c r="F255" s="286"/>
      <c r="G255" s="42"/>
      <c r="H255" s="286"/>
      <c r="I255" s="43"/>
      <c r="J255" s="43"/>
      <c r="K255" s="43"/>
      <c r="L255" s="44"/>
      <c r="M255" s="44"/>
      <c r="N255" s="45"/>
      <c r="O255" s="46">
        <f>SUM(O249:O254)</f>
        <v>66159.269999999902</v>
      </c>
    </row>
    <row r="256" spans="1:15" ht="60" customHeight="1" thickBot="1" x14ac:dyDescent="0.35">
      <c r="A256" s="8" t="s">
        <v>3</v>
      </c>
      <c r="B256" s="9" t="s">
        <v>0</v>
      </c>
      <c r="C256" s="11" t="s">
        <v>1</v>
      </c>
      <c r="D256" s="32" t="s">
        <v>34</v>
      </c>
      <c r="E256" s="11" t="s">
        <v>198</v>
      </c>
      <c r="F256" s="286" t="s">
        <v>199</v>
      </c>
      <c r="G256" s="11" t="s">
        <v>197</v>
      </c>
      <c r="H256" s="286" t="s">
        <v>184</v>
      </c>
      <c r="I256" s="10" t="s">
        <v>2</v>
      </c>
      <c r="J256" s="10" t="s">
        <v>39</v>
      </c>
      <c r="K256" s="11" t="s">
        <v>40</v>
      </c>
      <c r="L256" s="13" t="s">
        <v>14</v>
      </c>
      <c r="M256" s="14" t="s">
        <v>15</v>
      </c>
      <c r="N256" s="15" t="s">
        <v>11</v>
      </c>
      <c r="O256" s="16" t="s">
        <v>76</v>
      </c>
    </row>
    <row r="257" spans="1:15" ht="60" customHeight="1" thickBot="1" x14ac:dyDescent="0.55000000000000004">
      <c r="A257" s="17">
        <v>1</v>
      </c>
      <c r="B257" s="363" t="s">
        <v>191</v>
      </c>
      <c r="C257" s="357">
        <v>604</v>
      </c>
      <c r="D257" s="52" t="s">
        <v>35</v>
      </c>
      <c r="E257" s="262">
        <v>8035.68</v>
      </c>
      <c r="F257" s="286">
        <v>46163</v>
      </c>
      <c r="G257" s="262">
        <v>8036.17</v>
      </c>
      <c r="H257" s="286">
        <v>46197</v>
      </c>
      <c r="I257" s="34">
        <f>G257-E257</f>
        <v>0.48999999999978172</v>
      </c>
      <c r="J257" s="34"/>
      <c r="K257" s="34">
        <v>257</v>
      </c>
      <c r="L257" s="360">
        <v>40138.68</v>
      </c>
      <c r="M257" s="36">
        <f t="shared" ref="M257:M262" si="28">I257*K257+J257</f>
        <v>125.9299999999439</v>
      </c>
      <c r="N257" s="37"/>
      <c r="O257" s="38">
        <f>M257-N257</f>
        <v>125.9299999999439</v>
      </c>
    </row>
    <row r="258" spans="1:15" ht="60" customHeight="1" thickBot="1" x14ac:dyDescent="0.55000000000000004">
      <c r="A258" s="17"/>
      <c r="B258" s="364"/>
      <c r="C258" s="358"/>
      <c r="D258" s="21" t="s">
        <v>36</v>
      </c>
      <c r="E258" s="261">
        <v>912</v>
      </c>
      <c r="F258" s="286">
        <v>46163</v>
      </c>
      <c r="G258" s="261">
        <v>912</v>
      </c>
      <c r="H258" s="286">
        <v>46197</v>
      </c>
      <c r="I258" s="34">
        <f>G258-E258</f>
        <v>0</v>
      </c>
      <c r="J258" s="34">
        <v>0</v>
      </c>
      <c r="K258" s="20">
        <v>1200</v>
      </c>
      <c r="L258" s="361"/>
      <c r="M258" s="36">
        <f t="shared" si="28"/>
        <v>0</v>
      </c>
      <c r="N258" s="19"/>
      <c r="O258" s="38">
        <f>L258+M258-N258</f>
        <v>0</v>
      </c>
    </row>
    <row r="259" spans="1:15" ht="60" customHeight="1" thickBot="1" x14ac:dyDescent="0.55000000000000004">
      <c r="A259" s="17"/>
      <c r="B259" s="364"/>
      <c r="C259" s="358"/>
      <c r="D259" s="53" t="s">
        <v>37</v>
      </c>
      <c r="E259" s="40">
        <v>0</v>
      </c>
      <c r="F259" s="286">
        <v>46163</v>
      </c>
      <c r="G259" s="40">
        <v>0</v>
      </c>
      <c r="H259" s="286">
        <v>46197</v>
      </c>
      <c r="I259" s="39">
        <v>1</v>
      </c>
      <c r="J259" s="39"/>
      <c r="K259" s="39">
        <v>15000</v>
      </c>
      <c r="L259" s="361"/>
      <c r="M259" s="36">
        <f t="shared" si="28"/>
        <v>15000</v>
      </c>
      <c r="N259" s="23"/>
      <c r="O259" s="38">
        <f>L259+M259-N259</f>
        <v>15000</v>
      </c>
    </row>
    <row r="260" spans="1:15" ht="60" customHeight="1" thickBot="1" x14ac:dyDescent="0.55000000000000004">
      <c r="A260" s="17"/>
      <c r="B260" s="364"/>
      <c r="C260" s="358"/>
      <c r="D260" s="59" t="s">
        <v>42</v>
      </c>
      <c r="E260" s="56"/>
      <c r="F260" s="286"/>
      <c r="G260" s="56"/>
      <c r="H260" s="286"/>
      <c r="I260" s="55">
        <v>0</v>
      </c>
      <c r="J260" s="55"/>
      <c r="K260" s="55">
        <v>0</v>
      </c>
      <c r="L260" s="361"/>
      <c r="M260" s="36">
        <f t="shared" si="28"/>
        <v>0</v>
      </c>
      <c r="N260" s="58"/>
      <c r="O260" s="38">
        <f>L260+M260-N260</f>
        <v>0</v>
      </c>
    </row>
    <row r="261" spans="1:15" ht="60" customHeight="1" thickBot="1" x14ac:dyDescent="0.55000000000000004">
      <c r="A261" s="17"/>
      <c r="B261" s="364"/>
      <c r="C261" s="358"/>
      <c r="D261" s="52" t="s">
        <v>85</v>
      </c>
      <c r="E261" s="35"/>
      <c r="F261" s="286"/>
      <c r="G261" s="35"/>
      <c r="H261" s="286"/>
      <c r="I261" s="55">
        <v>0</v>
      </c>
      <c r="J261" s="34"/>
      <c r="K261" s="34">
        <v>2000</v>
      </c>
      <c r="L261" s="361"/>
      <c r="M261" s="36">
        <f t="shared" si="28"/>
        <v>0</v>
      </c>
      <c r="N261" s="37"/>
      <c r="O261" s="38">
        <f>L261+M261-N261</f>
        <v>0</v>
      </c>
    </row>
    <row r="262" spans="1:15" ht="60" customHeight="1" thickBot="1" x14ac:dyDescent="0.55000000000000004">
      <c r="A262" s="17"/>
      <c r="B262" s="364"/>
      <c r="C262" s="358"/>
      <c r="D262" s="59" t="s">
        <v>14</v>
      </c>
      <c r="E262" s="56"/>
      <c r="F262" s="286"/>
      <c r="G262" s="56"/>
      <c r="H262" s="286"/>
      <c r="I262" s="55"/>
      <c r="J262" s="55"/>
      <c r="K262" s="55"/>
      <c r="L262" s="362"/>
      <c r="M262" s="36">
        <f t="shared" si="28"/>
        <v>0</v>
      </c>
      <c r="N262" s="58"/>
      <c r="O262" s="38">
        <f>L257</f>
        <v>40138.68</v>
      </c>
    </row>
    <row r="263" spans="1:15" ht="60" customHeight="1" thickBot="1" x14ac:dyDescent="0.55000000000000004">
      <c r="A263" s="17"/>
      <c r="B263" s="365"/>
      <c r="C263" s="359"/>
      <c r="D263" s="41" t="s">
        <v>38</v>
      </c>
      <c r="E263" s="42"/>
      <c r="F263" s="286"/>
      <c r="G263" s="42"/>
      <c r="H263" s="286"/>
      <c r="I263" s="43"/>
      <c r="J263" s="43"/>
      <c r="K263" s="43"/>
      <c r="L263" s="44"/>
      <c r="M263" s="44"/>
      <c r="N263" s="45"/>
      <c r="O263" s="46">
        <f>SUM(O257:O262)</f>
        <v>55264.609999999942</v>
      </c>
    </row>
    <row r="264" spans="1:15" ht="60" customHeight="1" thickBot="1" x14ac:dyDescent="0.55000000000000004">
      <c r="A264" s="22"/>
      <c r="B264" s="279"/>
      <c r="C264" s="278"/>
      <c r="D264" s="60"/>
      <c r="E264" s="61"/>
      <c r="F264" s="286"/>
      <c r="G264" s="61"/>
      <c r="H264" s="286"/>
      <c r="I264" s="60"/>
      <c r="J264" s="60"/>
      <c r="K264" s="60"/>
      <c r="L264" s="62"/>
      <c r="M264" s="62"/>
      <c r="N264" s="63"/>
      <c r="O264" s="64"/>
    </row>
    <row r="265" spans="1:15" ht="60" customHeight="1" thickBot="1" x14ac:dyDescent="0.35">
      <c r="A265" s="8" t="s">
        <v>3</v>
      </c>
      <c r="B265" s="9" t="s">
        <v>0</v>
      </c>
      <c r="C265" s="11" t="s">
        <v>1</v>
      </c>
      <c r="D265" s="32" t="s">
        <v>34</v>
      </c>
      <c r="E265" s="11" t="s">
        <v>198</v>
      </c>
      <c r="F265" s="286" t="s">
        <v>199</v>
      </c>
      <c r="G265" s="11" t="s">
        <v>197</v>
      </c>
      <c r="H265" s="286" t="s">
        <v>184</v>
      </c>
      <c r="I265" s="10" t="s">
        <v>2</v>
      </c>
      <c r="J265" s="10" t="s">
        <v>39</v>
      </c>
      <c r="K265" s="11" t="s">
        <v>40</v>
      </c>
      <c r="L265" s="13" t="s">
        <v>14</v>
      </c>
      <c r="M265" s="14" t="s">
        <v>15</v>
      </c>
      <c r="N265" s="15" t="s">
        <v>11</v>
      </c>
      <c r="O265" s="16" t="s">
        <v>76</v>
      </c>
    </row>
    <row r="266" spans="1:15" ht="60" customHeight="1" thickBot="1" x14ac:dyDescent="0.55000000000000004">
      <c r="A266" s="17">
        <v>1</v>
      </c>
      <c r="B266" s="354" t="s">
        <v>22</v>
      </c>
      <c r="C266" s="357">
        <v>605</v>
      </c>
      <c r="D266" s="52" t="s">
        <v>35</v>
      </c>
      <c r="E266" s="262">
        <v>6906.41</v>
      </c>
      <c r="F266" s="286">
        <v>46163</v>
      </c>
      <c r="G266" s="262">
        <v>6988.2</v>
      </c>
      <c r="H266" s="286">
        <v>46197</v>
      </c>
      <c r="I266" s="34">
        <f>G266-E266</f>
        <v>81.789999999999964</v>
      </c>
      <c r="J266" s="34"/>
      <c r="K266" s="34">
        <v>257</v>
      </c>
      <c r="L266" s="360">
        <v>51843.85</v>
      </c>
      <c r="M266" s="36">
        <f t="shared" ref="M266:M271" si="29">I266*K266+J266</f>
        <v>21020.029999999992</v>
      </c>
      <c r="N266" s="37">
        <v>0</v>
      </c>
      <c r="O266" s="38">
        <f>M266-N266</f>
        <v>21020.029999999992</v>
      </c>
    </row>
    <row r="267" spans="1:15" ht="60" customHeight="1" thickBot="1" x14ac:dyDescent="0.55000000000000004">
      <c r="A267" s="17"/>
      <c r="B267" s="355"/>
      <c r="C267" s="358"/>
      <c r="D267" s="21" t="s">
        <v>36</v>
      </c>
      <c r="E267" s="261">
        <v>811</v>
      </c>
      <c r="F267" s="286">
        <v>46163</v>
      </c>
      <c r="G267" s="261">
        <v>825</v>
      </c>
      <c r="H267" s="286">
        <v>46197</v>
      </c>
      <c r="I267" s="34">
        <f>G267-E267</f>
        <v>14</v>
      </c>
      <c r="J267" s="34">
        <v>1000</v>
      </c>
      <c r="K267" s="20">
        <v>1200</v>
      </c>
      <c r="L267" s="361"/>
      <c r="M267" s="36">
        <f t="shared" si="29"/>
        <v>17800</v>
      </c>
      <c r="N267" s="19">
        <v>0</v>
      </c>
      <c r="O267" s="38">
        <f>L267+M267-N267</f>
        <v>17800</v>
      </c>
    </row>
    <row r="268" spans="1:15" ht="60" customHeight="1" thickBot="1" x14ac:dyDescent="0.55000000000000004">
      <c r="A268" s="17"/>
      <c r="B268" s="355"/>
      <c r="C268" s="358"/>
      <c r="D268" s="53" t="s">
        <v>37</v>
      </c>
      <c r="E268" s="40">
        <v>0</v>
      </c>
      <c r="F268" s="286">
        <v>46163</v>
      </c>
      <c r="G268" s="40">
        <v>0</v>
      </c>
      <c r="H268" s="286">
        <v>46197</v>
      </c>
      <c r="I268" s="39">
        <v>1</v>
      </c>
      <c r="J268" s="39"/>
      <c r="K268" s="39">
        <v>25000</v>
      </c>
      <c r="L268" s="361"/>
      <c r="M268" s="36">
        <f t="shared" si="29"/>
        <v>25000</v>
      </c>
      <c r="N268" s="23">
        <v>0</v>
      </c>
      <c r="O268" s="38">
        <f>L268+M268-N268</f>
        <v>25000</v>
      </c>
    </row>
    <row r="269" spans="1:15" ht="60" customHeight="1" thickBot="1" x14ac:dyDescent="0.55000000000000004">
      <c r="A269" s="17"/>
      <c r="B269" s="355"/>
      <c r="C269" s="358"/>
      <c r="D269" s="59" t="s">
        <v>42</v>
      </c>
      <c r="E269" s="56"/>
      <c r="F269" s="286"/>
      <c r="G269" s="56"/>
      <c r="H269" s="286"/>
      <c r="I269" s="55">
        <v>0</v>
      </c>
      <c r="J269" s="55"/>
      <c r="K269" s="55">
        <v>0</v>
      </c>
      <c r="L269" s="361"/>
      <c r="M269" s="36">
        <f t="shared" si="29"/>
        <v>0</v>
      </c>
      <c r="N269" s="58"/>
      <c r="O269" s="38">
        <f>L269+M269-N269</f>
        <v>0</v>
      </c>
    </row>
    <row r="270" spans="1:15" ht="60" customHeight="1" thickBot="1" x14ac:dyDescent="0.55000000000000004">
      <c r="A270" s="17"/>
      <c r="B270" s="355"/>
      <c r="C270" s="358"/>
      <c r="D270" s="52" t="s">
        <v>85</v>
      </c>
      <c r="E270" s="35"/>
      <c r="F270" s="286"/>
      <c r="G270" s="35"/>
      <c r="H270" s="286"/>
      <c r="I270" s="55">
        <v>1</v>
      </c>
      <c r="J270" s="34"/>
      <c r="K270" s="34">
        <v>2000</v>
      </c>
      <c r="L270" s="361"/>
      <c r="M270" s="36">
        <f t="shared" si="29"/>
        <v>2000</v>
      </c>
      <c r="N270" s="37"/>
      <c r="O270" s="38">
        <f>L270+M270-N270</f>
        <v>2000</v>
      </c>
    </row>
    <row r="271" spans="1:15" ht="60" customHeight="1" thickBot="1" x14ac:dyDescent="0.55000000000000004">
      <c r="A271" s="17"/>
      <c r="B271" s="355"/>
      <c r="C271" s="358"/>
      <c r="D271" s="59" t="s">
        <v>14</v>
      </c>
      <c r="E271" s="56"/>
      <c r="F271" s="286"/>
      <c r="G271" s="56"/>
      <c r="H271" s="286"/>
      <c r="I271" s="55"/>
      <c r="J271" s="55"/>
      <c r="K271" s="55"/>
      <c r="L271" s="362"/>
      <c r="M271" s="36">
        <f t="shared" si="29"/>
        <v>0</v>
      </c>
      <c r="N271" s="58"/>
      <c r="O271" s="38">
        <f>L266</f>
        <v>51843.85</v>
      </c>
    </row>
    <row r="272" spans="1:15" ht="60" customHeight="1" thickBot="1" x14ac:dyDescent="0.55000000000000004">
      <c r="A272" s="17"/>
      <c r="B272" s="356"/>
      <c r="C272" s="359"/>
      <c r="D272" s="41" t="s">
        <v>38</v>
      </c>
      <c r="E272" s="42"/>
      <c r="F272" s="286"/>
      <c r="G272" s="42"/>
      <c r="H272" s="286"/>
      <c r="I272" s="43"/>
      <c r="J272" s="43"/>
      <c r="K272" s="43"/>
      <c r="L272" s="44"/>
      <c r="M272" s="44"/>
      <c r="N272" s="45"/>
      <c r="O272" s="46">
        <f>SUM(O266:O271)</f>
        <v>117663.88</v>
      </c>
    </row>
    <row r="273" spans="1:15" ht="60" customHeight="1" thickBot="1" x14ac:dyDescent="0.55000000000000004">
      <c r="A273" s="22"/>
      <c r="B273" s="276"/>
      <c r="C273" s="278"/>
      <c r="D273" s="60"/>
      <c r="E273" s="61"/>
      <c r="F273" s="286"/>
      <c r="G273" s="61"/>
      <c r="H273" s="286"/>
      <c r="I273" s="60"/>
      <c r="J273" s="60"/>
      <c r="K273" s="60"/>
      <c r="L273" s="62"/>
      <c r="M273" s="62"/>
      <c r="N273" s="63"/>
      <c r="O273" s="64"/>
    </row>
    <row r="274" spans="1:15" ht="60" customHeight="1" thickBot="1" x14ac:dyDescent="0.35">
      <c r="A274" s="8"/>
      <c r="B274" s="9" t="s">
        <v>0</v>
      </c>
      <c r="C274" s="11" t="s">
        <v>1</v>
      </c>
      <c r="D274" s="32" t="s">
        <v>34</v>
      </c>
      <c r="E274" s="11" t="s">
        <v>198</v>
      </c>
      <c r="F274" s="286" t="s">
        <v>199</v>
      </c>
      <c r="G274" s="11" t="s">
        <v>197</v>
      </c>
      <c r="H274" s="286" t="s">
        <v>184</v>
      </c>
      <c r="I274" s="10" t="s">
        <v>2</v>
      </c>
      <c r="J274" s="10" t="s">
        <v>39</v>
      </c>
      <c r="K274" s="11" t="s">
        <v>40</v>
      </c>
      <c r="L274" s="13" t="s">
        <v>14</v>
      </c>
      <c r="M274" s="14" t="s">
        <v>15</v>
      </c>
      <c r="N274" s="15" t="s">
        <v>11</v>
      </c>
      <c r="O274" s="16" t="s">
        <v>76</v>
      </c>
    </row>
    <row r="275" spans="1:15" ht="60" customHeight="1" thickBot="1" x14ac:dyDescent="0.55000000000000004">
      <c r="A275" s="17">
        <v>1</v>
      </c>
      <c r="B275" s="354" t="s">
        <v>23</v>
      </c>
      <c r="C275" s="357">
        <v>701</v>
      </c>
      <c r="D275" s="52" t="s">
        <v>35</v>
      </c>
      <c r="E275" s="262">
        <v>2788.32</v>
      </c>
      <c r="F275" s="286">
        <v>46163</v>
      </c>
      <c r="G275" s="262">
        <v>2809.23</v>
      </c>
      <c r="H275" s="286">
        <v>46197</v>
      </c>
      <c r="I275" s="34">
        <f>G275-E275</f>
        <v>20.909999999999854</v>
      </c>
      <c r="J275" s="34"/>
      <c r="K275" s="34">
        <v>257</v>
      </c>
      <c r="L275" s="360">
        <v>940467.94</v>
      </c>
      <c r="M275" s="36">
        <f t="shared" ref="M275:M280" si="30">I275*K275+J275</f>
        <v>5373.8699999999626</v>
      </c>
      <c r="N275" s="37"/>
      <c r="O275" s="38">
        <f>M275-N275</f>
        <v>5373.8699999999626</v>
      </c>
    </row>
    <row r="276" spans="1:15" ht="60" customHeight="1" thickBot="1" x14ac:dyDescent="0.55000000000000004">
      <c r="A276" s="17"/>
      <c r="B276" s="355"/>
      <c r="C276" s="358"/>
      <c r="D276" s="21" t="s">
        <v>36</v>
      </c>
      <c r="E276" s="261">
        <v>960</v>
      </c>
      <c r="F276" s="286">
        <v>46163</v>
      </c>
      <c r="G276" s="261">
        <v>976</v>
      </c>
      <c r="H276" s="286">
        <v>46197</v>
      </c>
      <c r="I276" s="34">
        <f>G276-E276</f>
        <v>16</v>
      </c>
      <c r="J276" s="34">
        <v>1000</v>
      </c>
      <c r="K276" s="20">
        <v>1200</v>
      </c>
      <c r="L276" s="361"/>
      <c r="M276" s="36">
        <f t="shared" si="30"/>
        <v>20200</v>
      </c>
      <c r="N276" s="19"/>
      <c r="O276" s="38">
        <f>L276+M276-N276</f>
        <v>20200</v>
      </c>
    </row>
    <row r="277" spans="1:15" ht="60" customHeight="1" thickBot="1" x14ac:dyDescent="0.55000000000000004">
      <c r="A277" s="17"/>
      <c r="B277" s="355"/>
      <c r="C277" s="358"/>
      <c r="D277" s="53" t="s">
        <v>37</v>
      </c>
      <c r="E277" s="40">
        <v>0</v>
      </c>
      <c r="F277" s="286">
        <v>46163</v>
      </c>
      <c r="G277" s="40">
        <v>0</v>
      </c>
      <c r="H277" s="286">
        <v>46197</v>
      </c>
      <c r="I277" s="39">
        <v>1</v>
      </c>
      <c r="J277" s="39"/>
      <c r="K277" s="39">
        <v>25000</v>
      </c>
      <c r="L277" s="361"/>
      <c r="M277" s="36">
        <f t="shared" si="30"/>
        <v>25000</v>
      </c>
      <c r="N277" s="23"/>
      <c r="O277" s="38">
        <f>L277+M277-N277</f>
        <v>25000</v>
      </c>
    </row>
    <row r="278" spans="1:15" ht="60" customHeight="1" thickBot="1" x14ac:dyDescent="0.55000000000000004">
      <c r="A278" s="17"/>
      <c r="B278" s="355"/>
      <c r="C278" s="358"/>
      <c r="D278" s="59" t="s">
        <v>42</v>
      </c>
      <c r="E278" s="56"/>
      <c r="F278" s="286">
        <v>46163</v>
      </c>
      <c r="G278" s="56"/>
      <c r="H278" s="286">
        <v>46162</v>
      </c>
      <c r="I278" s="55">
        <v>0</v>
      </c>
      <c r="J278" s="55"/>
      <c r="K278" s="55">
        <v>0</v>
      </c>
      <c r="L278" s="361"/>
      <c r="M278" s="36">
        <f t="shared" si="30"/>
        <v>0</v>
      </c>
      <c r="N278" s="58"/>
      <c r="O278" s="38">
        <f>L278+M278-N278</f>
        <v>0</v>
      </c>
    </row>
    <row r="279" spans="1:15" ht="60" customHeight="1" thickBot="1" x14ac:dyDescent="0.55000000000000004">
      <c r="A279" s="17"/>
      <c r="B279" s="355"/>
      <c r="C279" s="358"/>
      <c r="D279" s="52" t="s">
        <v>85</v>
      </c>
      <c r="E279" s="35"/>
      <c r="F279" s="286"/>
      <c r="G279" s="35"/>
      <c r="H279" s="286"/>
      <c r="I279" s="55">
        <v>1</v>
      </c>
      <c r="J279" s="34"/>
      <c r="K279" s="34">
        <v>2000</v>
      </c>
      <c r="L279" s="361"/>
      <c r="M279" s="36">
        <f t="shared" si="30"/>
        <v>2000</v>
      </c>
      <c r="N279" s="37"/>
      <c r="O279" s="38">
        <f>L279+M279-N279</f>
        <v>2000</v>
      </c>
    </row>
    <row r="280" spans="1:15" ht="60" customHeight="1" thickBot="1" x14ac:dyDescent="0.55000000000000004">
      <c r="A280" s="17"/>
      <c r="B280" s="355"/>
      <c r="C280" s="358"/>
      <c r="D280" s="59" t="s">
        <v>14</v>
      </c>
      <c r="E280" s="56"/>
      <c r="F280" s="286"/>
      <c r="G280" s="56"/>
      <c r="H280" s="286"/>
      <c r="I280" s="55"/>
      <c r="J280" s="55"/>
      <c r="K280" s="55"/>
      <c r="L280" s="362"/>
      <c r="M280" s="36">
        <f t="shared" si="30"/>
        <v>0</v>
      </c>
      <c r="N280" s="58"/>
      <c r="O280" s="38">
        <f>L275</f>
        <v>940467.94</v>
      </c>
    </row>
    <row r="281" spans="1:15" ht="60" customHeight="1" thickBot="1" x14ac:dyDescent="0.55000000000000004">
      <c r="A281" s="17"/>
      <c r="B281" s="356"/>
      <c r="C281" s="359"/>
      <c r="D281" s="41" t="s">
        <v>38</v>
      </c>
      <c r="E281" s="42"/>
      <c r="F281" s="286"/>
      <c r="G281" s="42"/>
      <c r="H281" s="286"/>
      <c r="I281" s="43"/>
      <c r="J281" s="43"/>
      <c r="K281" s="43"/>
      <c r="L281" s="44"/>
      <c r="M281" s="44"/>
      <c r="N281" s="45"/>
      <c r="O281" s="46">
        <f>SUM(O275:O280)</f>
        <v>993041.80999999994</v>
      </c>
    </row>
    <row r="282" spans="1:15" ht="60" customHeight="1" thickBot="1" x14ac:dyDescent="0.55000000000000004">
      <c r="A282" s="22"/>
      <c r="B282" s="276"/>
      <c r="C282" s="278"/>
      <c r="D282" s="60"/>
      <c r="E282" s="61"/>
      <c r="F282" s="286"/>
      <c r="G282" s="61"/>
      <c r="H282" s="286"/>
      <c r="I282" s="60"/>
      <c r="J282" s="60"/>
      <c r="K282" s="60"/>
      <c r="L282" s="62"/>
      <c r="M282" s="62"/>
      <c r="N282" s="63"/>
      <c r="O282" s="64"/>
    </row>
    <row r="283" spans="1:15" ht="60" customHeight="1" thickBot="1" x14ac:dyDescent="0.35">
      <c r="A283" s="8" t="s">
        <v>3</v>
      </c>
      <c r="B283" s="9" t="s">
        <v>0</v>
      </c>
      <c r="C283" s="11" t="s">
        <v>1</v>
      </c>
      <c r="D283" s="32" t="s">
        <v>34</v>
      </c>
      <c r="E283" s="11" t="s">
        <v>198</v>
      </c>
      <c r="F283" s="286" t="s">
        <v>199</v>
      </c>
      <c r="G283" s="11" t="s">
        <v>197</v>
      </c>
      <c r="H283" s="286" t="s">
        <v>184</v>
      </c>
      <c r="I283" s="10" t="s">
        <v>2</v>
      </c>
      <c r="J283" s="10" t="s">
        <v>39</v>
      </c>
      <c r="K283" s="11" t="s">
        <v>40</v>
      </c>
      <c r="L283" s="13" t="s">
        <v>14</v>
      </c>
      <c r="M283" s="14" t="s">
        <v>15</v>
      </c>
      <c r="N283" s="15" t="s">
        <v>11</v>
      </c>
      <c r="O283" s="16" t="s">
        <v>76</v>
      </c>
    </row>
    <row r="284" spans="1:15" ht="60" customHeight="1" thickBot="1" x14ac:dyDescent="0.55000000000000004">
      <c r="A284" s="17">
        <v>1</v>
      </c>
      <c r="B284" s="354" t="s">
        <v>56</v>
      </c>
      <c r="C284" s="357">
        <v>702</v>
      </c>
      <c r="D284" s="52" t="s">
        <v>35</v>
      </c>
      <c r="E284" s="262">
        <v>7037.47</v>
      </c>
      <c r="F284" s="286">
        <v>46163</v>
      </c>
      <c r="G284" s="262">
        <v>7040.51</v>
      </c>
      <c r="H284" s="286">
        <v>46197</v>
      </c>
      <c r="I284" s="34">
        <f>G284-E284</f>
        <v>3.0399999999999636</v>
      </c>
      <c r="J284" s="34"/>
      <c r="K284" s="34">
        <v>257</v>
      </c>
      <c r="L284" s="360">
        <v>53380.84</v>
      </c>
      <c r="M284" s="36">
        <f t="shared" ref="M284:M289" si="31">I284*K284+J284</f>
        <v>781.27999999999065</v>
      </c>
      <c r="N284" s="37"/>
      <c r="O284" s="38">
        <f>M284-N284</f>
        <v>781.27999999999065</v>
      </c>
    </row>
    <row r="285" spans="1:15" ht="60" customHeight="1" thickBot="1" x14ac:dyDescent="0.55000000000000004">
      <c r="A285" s="17"/>
      <c r="B285" s="355"/>
      <c r="C285" s="358"/>
      <c r="D285" s="21" t="s">
        <v>36</v>
      </c>
      <c r="E285" s="261">
        <v>366</v>
      </c>
      <c r="F285" s="286">
        <v>46163</v>
      </c>
      <c r="G285" s="261">
        <v>366</v>
      </c>
      <c r="H285" s="286">
        <v>46197</v>
      </c>
      <c r="I285" s="34">
        <f>G285-E285</f>
        <v>0</v>
      </c>
      <c r="J285" s="34">
        <v>0</v>
      </c>
      <c r="K285" s="20">
        <v>1200</v>
      </c>
      <c r="L285" s="361"/>
      <c r="M285" s="36">
        <f t="shared" si="31"/>
        <v>0</v>
      </c>
      <c r="N285" s="19"/>
      <c r="O285" s="38">
        <f>L285+M285-N285</f>
        <v>0</v>
      </c>
    </row>
    <row r="286" spans="1:15" ht="60" customHeight="1" thickBot="1" x14ac:dyDescent="0.55000000000000004">
      <c r="A286" s="17"/>
      <c r="B286" s="355"/>
      <c r="C286" s="358"/>
      <c r="D286" s="53" t="s">
        <v>37</v>
      </c>
      <c r="E286" s="40">
        <v>0</v>
      </c>
      <c r="F286" s="286">
        <v>46163</v>
      </c>
      <c r="G286" s="40">
        <v>0</v>
      </c>
      <c r="H286" s="286">
        <v>46197</v>
      </c>
      <c r="I286" s="39">
        <v>1</v>
      </c>
      <c r="J286" s="39"/>
      <c r="K286" s="39">
        <v>15000</v>
      </c>
      <c r="L286" s="361"/>
      <c r="M286" s="36">
        <f t="shared" si="31"/>
        <v>15000</v>
      </c>
      <c r="N286" s="23"/>
      <c r="O286" s="38">
        <f>L286+M286-N286</f>
        <v>15000</v>
      </c>
    </row>
    <row r="287" spans="1:15" ht="37.5" customHeight="1" thickBot="1" x14ac:dyDescent="0.55000000000000004">
      <c r="A287" s="17"/>
      <c r="B287" s="355"/>
      <c r="C287" s="358"/>
      <c r="D287" s="59" t="s">
        <v>42</v>
      </c>
      <c r="E287" s="56"/>
      <c r="F287" s="286">
        <v>46163</v>
      </c>
      <c r="G287" s="56"/>
      <c r="H287" s="286">
        <v>46162</v>
      </c>
      <c r="I287" s="55">
        <v>0</v>
      </c>
      <c r="J287" s="55"/>
      <c r="K287" s="55">
        <v>0</v>
      </c>
      <c r="L287" s="361"/>
      <c r="M287" s="36">
        <f t="shared" si="31"/>
        <v>0</v>
      </c>
      <c r="N287" s="58"/>
      <c r="O287" s="38">
        <f>L287+M287-N287</f>
        <v>0</v>
      </c>
    </row>
    <row r="288" spans="1:15" ht="60" customHeight="1" thickBot="1" x14ac:dyDescent="0.55000000000000004">
      <c r="A288" s="17"/>
      <c r="B288" s="355"/>
      <c r="C288" s="358"/>
      <c r="D288" s="52" t="s">
        <v>85</v>
      </c>
      <c r="E288" s="35"/>
      <c r="F288" s="286"/>
      <c r="G288" s="35"/>
      <c r="H288" s="286"/>
      <c r="I288" s="286"/>
      <c r="J288" s="34"/>
      <c r="K288" s="34">
        <v>2000</v>
      </c>
      <c r="L288" s="361"/>
      <c r="M288" s="36">
        <f t="shared" si="31"/>
        <v>0</v>
      </c>
      <c r="N288" s="37"/>
      <c r="O288" s="38">
        <f>L288+M288-N288</f>
        <v>0</v>
      </c>
    </row>
    <row r="289" spans="1:15" ht="60" customHeight="1" thickBot="1" x14ac:dyDescent="0.55000000000000004">
      <c r="A289" s="17"/>
      <c r="B289" s="355"/>
      <c r="C289" s="358"/>
      <c r="D289" s="59" t="s">
        <v>14</v>
      </c>
      <c r="E289" s="56"/>
      <c r="F289" s="286"/>
      <c r="G289" s="56"/>
      <c r="H289" s="286"/>
      <c r="I289" s="55"/>
      <c r="J289" s="55"/>
      <c r="K289" s="55"/>
      <c r="L289" s="362"/>
      <c r="M289" s="36">
        <f t="shared" si="31"/>
        <v>0</v>
      </c>
      <c r="N289" s="58"/>
      <c r="O289" s="38">
        <f>L284</f>
        <v>53380.84</v>
      </c>
    </row>
    <row r="290" spans="1:15" ht="60" customHeight="1" thickBot="1" x14ac:dyDescent="0.55000000000000004">
      <c r="A290" s="17"/>
      <c r="B290" s="356"/>
      <c r="C290" s="359"/>
      <c r="D290" s="41" t="s">
        <v>38</v>
      </c>
      <c r="E290" s="42"/>
      <c r="F290" s="286"/>
      <c r="G290" s="42"/>
      <c r="H290" s="286"/>
      <c r="I290" s="43"/>
      <c r="J290" s="43"/>
      <c r="K290" s="43"/>
      <c r="L290" s="44"/>
      <c r="M290" s="44"/>
      <c r="N290" s="45"/>
      <c r="O290" s="46">
        <f>SUM(O284:O289)</f>
        <v>69162.12</v>
      </c>
    </row>
    <row r="291" spans="1:15" ht="60" customHeight="1" thickBot="1" x14ac:dyDescent="0.55000000000000004">
      <c r="A291" s="22"/>
      <c r="B291" s="276"/>
      <c r="C291" s="278"/>
      <c r="D291" s="60"/>
      <c r="E291" s="61"/>
      <c r="F291" s="286"/>
      <c r="G291" s="61"/>
      <c r="H291" s="286"/>
      <c r="I291" s="60"/>
      <c r="J291" s="60"/>
      <c r="K291" s="60"/>
      <c r="L291" s="62"/>
      <c r="M291" s="62"/>
      <c r="N291" s="63"/>
      <c r="O291" s="64"/>
    </row>
    <row r="292" spans="1:15" ht="60" customHeight="1" thickBot="1" x14ac:dyDescent="0.35">
      <c r="A292" s="8" t="s">
        <v>3</v>
      </c>
      <c r="B292" s="9" t="s">
        <v>0</v>
      </c>
      <c r="C292" s="11" t="s">
        <v>1</v>
      </c>
      <c r="D292" s="32" t="s">
        <v>34</v>
      </c>
      <c r="E292" s="11" t="s">
        <v>198</v>
      </c>
      <c r="F292" s="286" t="s">
        <v>199</v>
      </c>
      <c r="G292" s="11" t="s">
        <v>197</v>
      </c>
      <c r="H292" s="286" t="s">
        <v>184</v>
      </c>
      <c r="I292" s="10" t="s">
        <v>2</v>
      </c>
      <c r="J292" s="10" t="s">
        <v>39</v>
      </c>
      <c r="K292" s="11" t="s">
        <v>40</v>
      </c>
      <c r="L292" s="13" t="s">
        <v>14</v>
      </c>
      <c r="M292" s="14" t="s">
        <v>15</v>
      </c>
      <c r="N292" s="15" t="s">
        <v>11</v>
      </c>
      <c r="O292" s="16" t="s">
        <v>76</v>
      </c>
    </row>
    <row r="293" spans="1:15" ht="60" customHeight="1" thickBot="1" x14ac:dyDescent="0.55000000000000004">
      <c r="A293" s="17">
        <v>1</v>
      </c>
      <c r="B293" s="354" t="s">
        <v>24</v>
      </c>
      <c r="C293" s="357">
        <v>703</v>
      </c>
      <c r="D293" s="52" t="s">
        <v>35</v>
      </c>
      <c r="E293" s="262">
        <v>6711.49</v>
      </c>
      <c r="F293" s="286">
        <v>46163</v>
      </c>
      <c r="G293" s="262">
        <v>6714.93</v>
      </c>
      <c r="H293" s="286">
        <v>46197</v>
      </c>
      <c r="I293" s="34">
        <f>G293-E293</f>
        <v>3.4400000000005093</v>
      </c>
      <c r="J293" s="34"/>
      <c r="K293" s="34">
        <v>257</v>
      </c>
      <c r="L293" s="360">
        <v>47203.35</v>
      </c>
      <c r="M293" s="36">
        <f t="shared" ref="M293:M298" si="32">I293*K293+J293</f>
        <v>884.08000000013089</v>
      </c>
      <c r="N293" s="37">
        <v>0</v>
      </c>
      <c r="O293" s="38">
        <f>M293-N293</f>
        <v>884.08000000013089</v>
      </c>
    </row>
    <row r="294" spans="1:15" ht="60" customHeight="1" thickBot="1" x14ac:dyDescent="0.55000000000000004">
      <c r="A294" s="17"/>
      <c r="B294" s="355"/>
      <c r="C294" s="358"/>
      <c r="D294" s="21" t="s">
        <v>36</v>
      </c>
      <c r="E294" s="261">
        <v>277</v>
      </c>
      <c r="F294" s="286">
        <v>46163</v>
      </c>
      <c r="G294" s="261">
        <v>277</v>
      </c>
      <c r="H294" s="286">
        <v>46197</v>
      </c>
      <c r="I294" s="34">
        <f>G294-E294</f>
        <v>0</v>
      </c>
      <c r="J294" s="34">
        <v>0</v>
      </c>
      <c r="K294" s="20">
        <v>1200</v>
      </c>
      <c r="L294" s="361"/>
      <c r="M294" s="36">
        <f t="shared" si="32"/>
        <v>0</v>
      </c>
      <c r="N294" s="19">
        <v>0</v>
      </c>
      <c r="O294" s="38">
        <f>L294+M294-N294</f>
        <v>0</v>
      </c>
    </row>
    <row r="295" spans="1:15" ht="60" customHeight="1" thickBot="1" x14ac:dyDescent="0.55000000000000004">
      <c r="A295" s="17"/>
      <c r="B295" s="355"/>
      <c r="C295" s="358"/>
      <c r="D295" s="53" t="s">
        <v>37</v>
      </c>
      <c r="E295" s="40">
        <v>0</v>
      </c>
      <c r="F295" s="286">
        <v>46163</v>
      </c>
      <c r="G295" s="40">
        <v>0</v>
      </c>
      <c r="H295" s="286">
        <v>46197</v>
      </c>
      <c r="I295" s="39">
        <v>1</v>
      </c>
      <c r="J295" s="39"/>
      <c r="K295" s="39">
        <v>15000</v>
      </c>
      <c r="L295" s="361"/>
      <c r="M295" s="36">
        <f t="shared" si="32"/>
        <v>15000</v>
      </c>
      <c r="N295" s="23">
        <v>0</v>
      </c>
      <c r="O295" s="38">
        <f>L295+M295-N295</f>
        <v>15000</v>
      </c>
    </row>
    <row r="296" spans="1:15" ht="60" customHeight="1" thickBot="1" x14ac:dyDescent="0.55000000000000004">
      <c r="A296" s="17"/>
      <c r="B296" s="355"/>
      <c r="C296" s="358"/>
      <c r="D296" s="59" t="s">
        <v>42</v>
      </c>
      <c r="E296" s="56"/>
      <c r="F296" s="286">
        <v>46163</v>
      </c>
      <c r="G296" s="56"/>
      <c r="H296" s="286">
        <v>46162</v>
      </c>
      <c r="I296" s="55">
        <v>0</v>
      </c>
      <c r="J296" s="55"/>
      <c r="K296" s="55">
        <v>0</v>
      </c>
      <c r="L296" s="361"/>
      <c r="M296" s="36">
        <f t="shared" si="32"/>
        <v>0</v>
      </c>
      <c r="N296" s="58"/>
      <c r="O296" s="38">
        <f>L296+M296-N296</f>
        <v>0</v>
      </c>
    </row>
    <row r="297" spans="1:15" ht="60" customHeight="1" thickBot="1" x14ac:dyDescent="0.55000000000000004">
      <c r="A297" s="17"/>
      <c r="B297" s="355"/>
      <c r="C297" s="358"/>
      <c r="D297" s="52" t="s">
        <v>85</v>
      </c>
      <c r="E297" s="35"/>
      <c r="F297" s="286"/>
      <c r="G297" s="35"/>
      <c r="H297" s="286"/>
      <c r="I297" s="55">
        <v>0</v>
      </c>
      <c r="J297" s="34"/>
      <c r="K297" s="34">
        <v>2000</v>
      </c>
      <c r="L297" s="361"/>
      <c r="M297" s="36">
        <f t="shared" si="32"/>
        <v>0</v>
      </c>
      <c r="N297" s="37"/>
      <c r="O297" s="38">
        <f>L297+M297-N297</f>
        <v>0</v>
      </c>
    </row>
    <row r="298" spans="1:15" ht="60" customHeight="1" thickBot="1" x14ac:dyDescent="0.55000000000000004">
      <c r="A298" s="17"/>
      <c r="B298" s="355"/>
      <c r="C298" s="358"/>
      <c r="D298" s="59" t="s">
        <v>14</v>
      </c>
      <c r="E298" s="56"/>
      <c r="F298" s="286"/>
      <c r="G298" s="56"/>
      <c r="H298" s="286"/>
      <c r="I298" s="55"/>
      <c r="J298" s="55"/>
      <c r="K298" s="55"/>
      <c r="L298" s="362"/>
      <c r="M298" s="36">
        <f t="shared" si="32"/>
        <v>0</v>
      </c>
      <c r="N298" s="58"/>
      <c r="O298" s="38">
        <f>L293</f>
        <v>47203.35</v>
      </c>
    </row>
    <row r="299" spans="1:15" ht="60" customHeight="1" thickBot="1" x14ac:dyDescent="0.55000000000000004">
      <c r="A299" s="17"/>
      <c r="B299" s="356"/>
      <c r="C299" s="359"/>
      <c r="D299" s="41" t="s">
        <v>38</v>
      </c>
      <c r="E299" s="42"/>
      <c r="F299" s="286"/>
      <c r="G299" s="42"/>
      <c r="H299" s="286"/>
      <c r="I299" s="43"/>
      <c r="J299" s="43"/>
      <c r="K299" s="43"/>
      <c r="L299" s="44"/>
      <c r="M299" s="44"/>
      <c r="N299" s="45"/>
      <c r="O299" s="46">
        <f>SUM(O293:O298)</f>
        <v>63087.430000000131</v>
      </c>
    </row>
    <row r="300" spans="1:15" ht="60" customHeight="1" thickBot="1" x14ac:dyDescent="0.55000000000000004">
      <c r="A300" s="22"/>
      <c r="B300" s="276"/>
      <c r="C300" s="278"/>
      <c r="D300" s="60"/>
      <c r="E300" s="61"/>
      <c r="F300" s="286"/>
      <c r="G300" s="61"/>
      <c r="H300" s="286"/>
      <c r="I300" s="60"/>
      <c r="J300" s="60"/>
      <c r="K300" s="60"/>
      <c r="L300" s="62"/>
      <c r="M300" s="62"/>
      <c r="N300" s="63"/>
      <c r="O300" s="64"/>
    </row>
    <row r="301" spans="1:15" ht="60" customHeight="1" thickBot="1" x14ac:dyDescent="0.35">
      <c r="A301" s="8" t="s">
        <v>3</v>
      </c>
      <c r="B301" s="9" t="s">
        <v>0</v>
      </c>
      <c r="C301" s="11" t="s">
        <v>1</v>
      </c>
      <c r="D301" s="32" t="s">
        <v>34</v>
      </c>
      <c r="E301" s="11" t="s">
        <v>198</v>
      </c>
      <c r="F301" s="286" t="s">
        <v>199</v>
      </c>
      <c r="G301" s="11" t="s">
        <v>197</v>
      </c>
      <c r="H301" s="286" t="s">
        <v>184</v>
      </c>
      <c r="I301" s="10" t="s">
        <v>2</v>
      </c>
      <c r="J301" s="10" t="s">
        <v>39</v>
      </c>
      <c r="K301" s="11" t="s">
        <v>40</v>
      </c>
      <c r="L301" s="13" t="s">
        <v>14</v>
      </c>
      <c r="M301" s="14" t="s">
        <v>15</v>
      </c>
      <c r="N301" s="15" t="s">
        <v>11</v>
      </c>
      <c r="O301" s="16" t="s">
        <v>76</v>
      </c>
    </row>
    <row r="302" spans="1:15" ht="60" customHeight="1" thickBot="1" x14ac:dyDescent="0.55000000000000004">
      <c r="A302" s="17">
        <v>1</v>
      </c>
      <c r="B302" s="354" t="s">
        <v>57</v>
      </c>
      <c r="C302" s="357">
        <v>704</v>
      </c>
      <c r="D302" s="52" t="s">
        <v>35</v>
      </c>
      <c r="E302" s="262">
        <v>6444.33</v>
      </c>
      <c r="F302" s="286">
        <v>46163</v>
      </c>
      <c r="G302" s="262">
        <v>6585.08</v>
      </c>
      <c r="H302" s="286">
        <v>46197</v>
      </c>
      <c r="I302" s="34">
        <f>G302-E302</f>
        <v>140.75</v>
      </c>
      <c r="J302" s="34"/>
      <c r="K302" s="34">
        <v>257</v>
      </c>
      <c r="L302" s="360">
        <v>-4263.93</v>
      </c>
      <c r="M302" s="36">
        <f t="shared" ref="M302:M307" si="33">I302*K302+J302</f>
        <v>36172.75</v>
      </c>
      <c r="N302" s="37">
        <v>0</v>
      </c>
      <c r="O302" s="38">
        <f>M302-N302</f>
        <v>36172.75</v>
      </c>
    </row>
    <row r="303" spans="1:15" ht="60" customHeight="1" thickBot="1" x14ac:dyDescent="0.55000000000000004">
      <c r="A303" s="17"/>
      <c r="B303" s="355"/>
      <c r="C303" s="358"/>
      <c r="D303" s="21" t="s">
        <v>36</v>
      </c>
      <c r="E303" s="261">
        <v>1041</v>
      </c>
      <c r="F303" s="286">
        <v>46163</v>
      </c>
      <c r="G303" s="261">
        <v>1063</v>
      </c>
      <c r="H303" s="286">
        <v>46197</v>
      </c>
      <c r="I303" s="34">
        <f>G303-E303</f>
        <v>22</v>
      </c>
      <c r="J303" s="34">
        <v>1000</v>
      </c>
      <c r="K303" s="20">
        <v>1200</v>
      </c>
      <c r="L303" s="361"/>
      <c r="M303" s="36">
        <f t="shared" si="33"/>
        <v>27400</v>
      </c>
      <c r="N303" s="19">
        <v>0</v>
      </c>
      <c r="O303" s="38">
        <f>L303+M303-N303</f>
        <v>27400</v>
      </c>
    </row>
    <row r="304" spans="1:15" ht="60" customHeight="1" thickBot="1" x14ac:dyDescent="0.55000000000000004">
      <c r="A304" s="17"/>
      <c r="B304" s="355"/>
      <c r="C304" s="358"/>
      <c r="D304" s="53" t="s">
        <v>37</v>
      </c>
      <c r="E304" s="40">
        <v>0</v>
      </c>
      <c r="F304" s="286">
        <v>46163</v>
      </c>
      <c r="G304" s="40">
        <v>0</v>
      </c>
      <c r="H304" s="286">
        <v>46197</v>
      </c>
      <c r="I304" s="39">
        <v>1</v>
      </c>
      <c r="J304" s="39"/>
      <c r="K304" s="39">
        <v>25000</v>
      </c>
      <c r="L304" s="361"/>
      <c r="M304" s="36">
        <f t="shared" si="33"/>
        <v>25000</v>
      </c>
      <c r="N304" s="23">
        <v>0</v>
      </c>
      <c r="O304" s="38">
        <f>L304+M304-N304</f>
        <v>25000</v>
      </c>
    </row>
    <row r="305" spans="1:15" ht="60" customHeight="1" thickBot="1" x14ac:dyDescent="0.55000000000000004">
      <c r="A305" s="17"/>
      <c r="B305" s="355"/>
      <c r="C305" s="358"/>
      <c r="D305" s="59" t="s">
        <v>42</v>
      </c>
      <c r="E305" s="56"/>
      <c r="F305" s="286">
        <v>46163</v>
      </c>
      <c r="G305" s="56"/>
      <c r="H305" s="286">
        <v>46162</v>
      </c>
      <c r="I305" s="55">
        <v>0</v>
      </c>
      <c r="J305" s="55"/>
      <c r="K305" s="55">
        <v>0</v>
      </c>
      <c r="L305" s="361"/>
      <c r="M305" s="36">
        <f t="shared" si="33"/>
        <v>0</v>
      </c>
      <c r="N305" s="58"/>
      <c r="O305" s="38">
        <f>L305+M305-N305</f>
        <v>0</v>
      </c>
    </row>
    <row r="306" spans="1:15" ht="60" customHeight="1" thickBot="1" x14ac:dyDescent="0.55000000000000004">
      <c r="A306" s="17"/>
      <c r="B306" s="355"/>
      <c r="C306" s="358"/>
      <c r="D306" s="52" t="s">
        <v>85</v>
      </c>
      <c r="E306" s="35"/>
      <c r="F306" s="286"/>
      <c r="G306" s="35"/>
      <c r="H306" s="286"/>
      <c r="I306" s="55">
        <v>1</v>
      </c>
      <c r="J306" s="34"/>
      <c r="K306" s="34">
        <v>2000</v>
      </c>
      <c r="L306" s="361"/>
      <c r="M306" s="36">
        <f t="shared" si="33"/>
        <v>2000</v>
      </c>
      <c r="N306" s="37"/>
      <c r="O306" s="38">
        <f>L306+M306-N306</f>
        <v>2000</v>
      </c>
    </row>
    <row r="307" spans="1:15" ht="60" customHeight="1" thickBot="1" x14ac:dyDescent="0.55000000000000004">
      <c r="A307" s="17"/>
      <c r="B307" s="355"/>
      <c r="C307" s="358"/>
      <c r="D307" s="59" t="s">
        <v>14</v>
      </c>
      <c r="E307" s="56"/>
      <c r="F307" s="286"/>
      <c r="G307" s="56"/>
      <c r="H307" s="286"/>
      <c r="I307" s="55"/>
      <c r="J307" s="55"/>
      <c r="K307" s="55"/>
      <c r="L307" s="362"/>
      <c r="M307" s="36">
        <f t="shared" si="33"/>
        <v>0</v>
      </c>
      <c r="N307" s="58"/>
      <c r="O307" s="38">
        <f>L302</f>
        <v>-4263.93</v>
      </c>
    </row>
    <row r="308" spans="1:15" ht="60" customHeight="1" thickBot="1" x14ac:dyDescent="0.55000000000000004">
      <c r="A308" s="17"/>
      <c r="B308" s="356"/>
      <c r="C308" s="359"/>
      <c r="D308" s="41" t="s">
        <v>38</v>
      </c>
      <c r="E308" s="42"/>
      <c r="F308" s="286"/>
      <c r="G308" s="42"/>
      <c r="H308" s="286"/>
      <c r="I308" s="43"/>
      <c r="J308" s="43"/>
      <c r="K308" s="43"/>
      <c r="L308" s="44"/>
      <c r="M308" s="44"/>
      <c r="N308" s="45"/>
      <c r="O308" s="46">
        <f>SUM(O302:O307)</f>
        <v>86308.82</v>
      </c>
    </row>
    <row r="309" spans="1:15" ht="60" customHeight="1" thickBot="1" x14ac:dyDescent="0.55000000000000004">
      <c r="A309" s="22"/>
      <c r="B309" s="276"/>
      <c r="C309" s="278"/>
      <c r="D309" s="60"/>
      <c r="E309" s="61"/>
      <c r="F309" s="286"/>
      <c r="G309" s="61"/>
      <c r="H309" s="286"/>
      <c r="I309" s="60"/>
      <c r="J309" s="60"/>
      <c r="K309" s="60"/>
      <c r="L309" s="62"/>
      <c r="M309" s="62"/>
      <c r="N309" s="63"/>
      <c r="O309" s="64"/>
    </row>
    <row r="310" spans="1:15" ht="60" customHeight="1" thickBot="1" x14ac:dyDescent="0.35">
      <c r="A310" s="8" t="s">
        <v>3</v>
      </c>
      <c r="B310" s="9" t="s">
        <v>0</v>
      </c>
      <c r="C310" s="11" t="s">
        <v>1</v>
      </c>
      <c r="D310" s="32" t="s">
        <v>34</v>
      </c>
      <c r="E310" s="11" t="s">
        <v>198</v>
      </c>
      <c r="F310" s="286" t="s">
        <v>199</v>
      </c>
      <c r="G310" s="11" t="s">
        <v>197</v>
      </c>
      <c r="H310" s="286" t="s">
        <v>184</v>
      </c>
      <c r="I310" s="10" t="s">
        <v>2</v>
      </c>
      <c r="J310" s="10" t="s">
        <v>39</v>
      </c>
      <c r="K310" s="11" t="s">
        <v>40</v>
      </c>
      <c r="L310" s="13" t="s">
        <v>14</v>
      </c>
      <c r="M310" s="14" t="s">
        <v>15</v>
      </c>
      <c r="N310" s="15" t="s">
        <v>11</v>
      </c>
      <c r="O310" s="16" t="s">
        <v>76</v>
      </c>
    </row>
    <row r="311" spans="1:15" ht="60" customHeight="1" thickBot="1" x14ac:dyDescent="0.55000000000000004">
      <c r="A311" s="17">
        <v>1</v>
      </c>
      <c r="B311" s="354" t="s">
        <v>6</v>
      </c>
      <c r="C311" s="357">
        <v>705</v>
      </c>
      <c r="D311" s="52" t="s">
        <v>35</v>
      </c>
      <c r="E311" s="262">
        <v>5880.47</v>
      </c>
      <c r="F311" s="286">
        <v>46163</v>
      </c>
      <c r="G311" s="262">
        <v>5907.86</v>
      </c>
      <c r="H311" s="286">
        <v>46197</v>
      </c>
      <c r="I311" s="34">
        <f>G311-E311</f>
        <v>27.389999999999418</v>
      </c>
      <c r="J311" s="34"/>
      <c r="K311" s="34">
        <v>257</v>
      </c>
      <c r="L311" s="360">
        <v>-60.5</v>
      </c>
      <c r="M311" s="36">
        <f t="shared" ref="M311:M316" si="34">I311*K311+J311</f>
        <v>7039.2299999998504</v>
      </c>
      <c r="N311" s="37">
        <v>0</v>
      </c>
      <c r="O311" s="38">
        <f>M311-N311</f>
        <v>7039.2299999998504</v>
      </c>
    </row>
    <row r="312" spans="1:15" ht="60" customHeight="1" thickBot="1" x14ac:dyDescent="0.55000000000000004">
      <c r="A312" s="17"/>
      <c r="B312" s="355"/>
      <c r="C312" s="358"/>
      <c r="D312" s="21" t="s">
        <v>36</v>
      </c>
      <c r="E312" s="261">
        <v>712</v>
      </c>
      <c r="F312" s="286">
        <v>46163</v>
      </c>
      <c r="G312" s="261">
        <v>712</v>
      </c>
      <c r="H312" s="286">
        <v>46197</v>
      </c>
      <c r="I312" s="34">
        <f>G312-E312</f>
        <v>0</v>
      </c>
      <c r="J312" s="34">
        <v>0</v>
      </c>
      <c r="K312" s="20">
        <v>1200</v>
      </c>
      <c r="L312" s="361"/>
      <c r="M312" s="36">
        <f t="shared" si="34"/>
        <v>0</v>
      </c>
      <c r="N312" s="19">
        <v>0</v>
      </c>
      <c r="O312" s="38">
        <f>L312+M312-N312</f>
        <v>0</v>
      </c>
    </row>
    <row r="313" spans="1:15" ht="48" customHeight="1" thickBot="1" x14ac:dyDescent="0.55000000000000004">
      <c r="A313" s="17"/>
      <c r="B313" s="355"/>
      <c r="C313" s="358"/>
      <c r="D313" s="53" t="s">
        <v>37</v>
      </c>
      <c r="E313" s="40">
        <v>0</v>
      </c>
      <c r="F313" s="286">
        <v>46163</v>
      </c>
      <c r="G313" s="40">
        <v>0</v>
      </c>
      <c r="H313" s="286">
        <v>46197</v>
      </c>
      <c r="I313" s="39">
        <v>1</v>
      </c>
      <c r="J313" s="39"/>
      <c r="K313" s="39">
        <v>15000</v>
      </c>
      <c r="L313" s="361"/>
      <c r="M313" s="36">
        <f t="shared" si="34"/>
        <v>15000</v>
      </c>
      <c r="N313" s="23">
        <v>0</v>
      </c>
      <c r="O313" s="38">
        <f>L313+M313-N313</f>
        <v>15000</v>
      </c>
    </row>
    <row r="314" spans="1:15" ht="33.75" customHeight="1" thickBot="1" x14ac:dyDescent="0.55000000000000004">
      <c r="A314" s="17"/>
      <c r="B314" s="355"/>
      <c r="C314" s="358"/>
      <c r="D314" s="59" t="s">
        <v>42</v>
      </c>
      <c r="E314" s="56"/>
      <c r="F314" s="286">
        <v>46163</v>
      </c>
      <c r="G314" s="56"/>
      <c r="H314" s="286">
        <v>46162</v>
      </c>
      <c r="I314" s="55">
        <v>0</v>
      </c>
      <c r="J314" s="55"/>
      <c r="K314" s="55">
        <v>0</v>
      </c>
      <c r="L314" s="361"/>
      <c r="M314" s="36">
        <f t="shared" si="34"/>
        <v>0</v>
      </c>
      <c r="N314" s="58"/>
      <c r="O314" s="38">
        <f>L314+M314-N314</f>
        <v>0</v>
      </c>
    </row>
    <row r="315" spans="1:15" ht="40.5" customHeight="1" thickBot="1" x14ac:dyDescent="0.55000000000000004">
      <c r="A315" s="17"/>
      <c r="B315" s="355"/>
      <c r="C315" s="358"/>
      <c r="D315" s="52" t="s">
        <v>85</v>
      </c>
      <c r="E315" s="35"/>
      <c r="F315" s="286"/>
      <c r="G315" s="35"/>
      <c r="H315" s="286"/>
      <c r="I315" s="55">
        <v>1</v>
      </c>
      <c r="J315" s="34"/>
      <c r="K315" s="34">
        <v>2000</v>
      </c>
      <c r="L315" s="361"/>
      <c r="M315" s="36">
        <f t="shared" si="34"/>
        <v>2000</v>
      </c>
      <c r="N315" s="37"/>
      <c r="O315" s="38">
        <f>L315+M315-N315</f>
        <v>2000</v>
      </c>
    </row>
    <row r="316" spans="1:15" ht="44.25" customHeight="1" thickBot="1" x14ac:dyDescent="0.55000000000000004">
      <c r="A316" s="17"/>
      <c r="B316" s="355"/>
      <c r="C316" s="358"/>
      <c r="D316" s="59" t="s">
        <v>14</v>
      </c>
      <c r="E316" s="56"/>
      <c r="F316" s="286"/>
      <c r="G316" s="56"/>
      <c r="H316" s="286"/>
      <c r="I316" s="55"/>
      <c r="J316" s="55"/>
      <c r="K316" s="55"/>
      <c r="L316" s="362"/>
      <c r="M316" s="36">
        <f t="shared" si="34"/>
        <v>0</v>
      </c>
      <c r="N316" s="58"/>
      <c r="O316" s="38">
        <f>L311</f>
        <v>-60.5</v>
      </c>
    </row>
    <row r="317" spans="1:15" ht="60" customHeight="1" thickBot="1" x14ac:dyDescent="0.55000000000000004">
      <c r="A317" s="17"/>
      <c r="B317" s="356"/>
      <c r="C317" s="359"/>
      <c r="D317" s="41" t="s">
        <v>38</v>
      </c>
      <c r="E317" s="42"/>
      <c r="F317" s="286"/>
      <c r="G317" s="42"/>
      <c r="H317" s="286"/>
      <c r="I317" s="43"/>
      <c r="J317" s="43"/>
      <c r="K317" s="43"/>
      <c r="L317" s="44"/>
      <c r="M317" s="44"/>
      <c r="N317" s="45"/>
      <c r="O317" s="46">
        <f>SUM(O311:O316)</f>
        <v>23978.72999999985</v>
      </c>
    </row>
    <row r="318" spans="1:15" ht="60" customHeight="1" thickBot="1" x14ac:dyDescent="0.55000000000000004">
      <c r="A318" s="22"/>
      <c r="B318" s="276"/>
      <c r="C318" s="278"/>
      <c r="D318" s="60"/>
      <c r="E318" s="61"/>
      <c r="F318" s="286"/>
      <c r="G318" s="61"/>
      <c r="H318" s="286"/>
      <c r="I318" s="60"/>
      <c r="J318" s="60"/>
      <c r="K318" s="60"/>
      <c r="L318" s="62"/>
      <c r="M318" s="62"/>
      <c r="N318" s="63"/>
      <c r="O318" s="64"/>
    </row>
    <row r="319" spans="1:15" ht="60" customHeight="1" thickBot="1" x14ac:dyDescent="0.35">
      <c r="A319" s="8" t="s">
        <v>3</v>
      </c>
      <c r="B319" s="9" t="s">
        <v>0</v>
      </c>
      <c r="C319" s="11" t="s">
        <v>1</v>
      </c>
      <c r="D319" s="32" t="s">
        <v>34</v>
      </c>
      <c r="E319" s="11" t="s">
        <v>198</v>
      </c>
      <c r="F319" s="286" t="s">
        <v>199</v>
      </c>
      <c r="G319" s="11" t="s">
        <v>197</v>
      </c>
      <c r="H319" s="286" t="s">
        <v>184</v>
      </c>
      <c r="I319" s="10" t="s">
        <v>2</v>
      </c>
      <c r="J319" s="10" t="s">
        <v>39</v>
      </c>
      <c r="K319" s="11" t="s">
        <v>40</v>
      </c>
      <c r="L319" s="13" t="s">
        <v>14</v>
      </c>
      <c r="M319" s="14" t="s">
        <v>15</v>
      </c>
      <c r="N319" s="15" t="s">
        <v>11</v>
      </c>
      <c r="O319" s="16" t="s">
        <v>76</v>
      </c>
    </row>
    <row r="320" spans="1:15" ht="60" customHeight="1" thickBot="1" x14ac:dyDescent="0.55000000000000004">
      <c r="A320" s="17">
        <v>1</v>
      </c>
      <c r="B320" s="363" t="s">
        <v>32</v>
      </c>
      <c r="C320" s="357">
        <v>801</v>
      </c>
      <c r="D320" s="52" t="s">
        <v>35</v>
      </c>
      <c r="E320" s="262">
        <v>9565.2099999999991</v>
      </c>
      <c r="F320" s="286">
        <v>46163</v>
      </c>
      <c r="G320" s="262">
        <v>9760.9599999999991</v>
      </c>
      <c r="H320" s="286">
        <v>46197</v>
      </c>
      <c r="I320" s="34">
        <f>G320-E320</f>
        <v>195.75</v>
      </c>
      <c r="J320" s="34"/>
      <c r="K320" s="34">
        <v>257</v>
      </c>
      <c r="L320" s="360">
        <v>283852.68</v>
      </c>
      <c r="M320" s="36">
        <f t="shared" ref="M320:M325" si="35">I320*K320+J320</f>
        <v>50307.75</v>
      </c>
      <c r="N320" s="37">
        <v>0</v>
      </c>
      <c r="O320" s="38">
        <f>M320-N320</f>
        <v>50307.75</v>
      </c>
    </row>
    <row r="321" spans="1:15" ht="60" customHeight="1" thickBot="1" x14ac:dyDescent="0.55000000000000004">
      <c r="A321" s="17"/>
      <c r="B321" s="364"/>
      <c r="C321" s="358"/>
      <c r="D321" s="21" t="s">
        <v>36</v>
      </c>
      <c r="E321" s="261">
        <v>827</v>
      </c>
      <c r="F321" s="286">
        <v>46163</v>
      </c>
      <c r="G321" s="261">
        <v>841</v>
      </c>
      <c r="H321" s="286">
        <v>46197</v>
      </c>
      <c r="I321" s="34">
        <f>G321-E321</f>
        <v>14</v>
      </c>
      <c r="J321" s="34">
        <v>1000</v>
      </c>
      <c r="K321" s="20">
        <v>1200</v>
      </c>
      <c r="L321" s="361"/>
      <c r="M321" s="36">
        <f t="shared" si="35"/>
        <v>17800</v>
      </c>
      <c r="N321" s="19">
        <v>0</v>
      </c>
      <c r="O321" s="38">
        <f>L321+M321-N321</f>
        <v>17800</v>
      </c>
    </row>
    <row r="322" spans="1:15" ht="60" customHeight="1" thickBot="1" x14ac:dyDescent="0.55000000000000004">
      <c r="A322" s="17"/>
      <c r="B322" s="364"/>
      <c r="C322" s="358"/>
      <c r="D322" s="53" t="s">
        <v>37</v>
      </c>
      <c r="E322" s="40">
        <v>0</v>
      </c>
      <c r="F322" s="286">
        <v>46163</v>
      </c>
      <c r="G322" s="40">
        <v>0</v>
      </c>
      <c r="H322" s="286">
        <v>46197</v>
      </c>
      <c r="I322" s="39">
        <v>1</v>
      </c>
      <c r="J322" s="39"/>
      <c r="K322" s="39">
        <v>25000</v>
      </c>
      <c r="L322" s="361"/>
      <c r="M322" s="36">
        <f t="shared" si="35"/>
        <v>25000</v>
      </c>
      <c r="N322" s="23">
        <v>0</v>
      </c>
      <c r="O322" s="38">
        <f>L322+M322-N322</f>
        <v>25000</v>
      </c>
    </row>
    <row r="323" spans="1:15" ht="60" customHeight="1" thickBot="1" x14ac:dyDescent="0.55000000000000004">
      <c r="A323" s="17"/>
      <c r="B323" s="364"/>
      <c r="C323" s="358"/>
      <c r="D323" s="59" t="s">
        <v>42</v>
      </c>
      <c r="E323" s="56"/>
      <c r="F323" s="286">
        <v>46163</v>
      </c>
      <c r="G323" s="56"/>
      <c r="H323" s="286">
        <v>46162</v>
      </c>
      <c r="I323" s="55">
        <v>0</v>
      </c>
      <c r="J323" s="55"/>
      <c r="K323" s="55">
        <v>0</v>
      </c>
      <c r="L323" s="361"/>
      <c r="M323" s="36">
        <f t="shared" si="35"/>
        <v>0</v>
      </c>
      <c r="N323" s="58"/>
      <c r="O323" s="38">
        <f>L323+M323-N323</f>
        <v>0</v>
      </c>
    </row>
    <row r="324" spans="1:15" ht="60" customHeight="1" thickBot="1" x14ac:dyDescent="0.55000000000000004">
      <c r="A324" s="17"/>
      <c r="B324" s="364"/>
      <c r="C324" s="358"/>
      <c r="D324" s="52" t="s">
        <v>85</v>
      </c>
      <c r="E324" s="35"/>
      <c r="F324" s="286"/>
      <c r="G324" s="35"/>
      <c r="H324" s="286"/>
      <c r="I324" s="55">
        <v>1</v>
      </c>
      <c r="J324" s="34"/>
      <c r="K324" s="34">
        <v>2000</v>
      </c>
      <c r="L324" s="361"/>
      <c r="M324" s="36">
        <f t="shared" si="35"/>
        <v>2000</v>
      </c>
      <c r="N324" s="37"/>
      <c r="O324" s="38">
        <f>L324+M324-N324</f>
        <v>2000</v>
      </c>
    </row>
    <row r="325" spans="1:15" ht="60" customHeight="1" thickBot="1" x14ac:dyDescent="0.55000000000000004">
      <c r="A325" s="17"/>
      <c r="B325" s="364"/>
      <c r="C325" s="358"/>
      <c r="D325" s="59" t="s">
        <v>14</v>
      </c>
      <c r="E325" s="56"/>
      <c r="F325" s="286"/>
      <c r="G325" s="56"/>
      <c r="H325" s="286"/>
      <c r="I325" s="55"/>
      <c r="J325" s="55"/>
      <c r="K325" s="55"/>
      <c r="L325" s="362"/>
      <c r="M325" s="36">
        <f t="shared" si="35"/>
        <v>0</v>
      </c>
      <c r="N325" s="58"/>
      <c r="O325" s="38">
        <f>L320</f>
        <v>283852.68</v>
      </c>
    </row>
    <row r="326" spans="1:15" ht="60" customHeight="1" thickBot="1" x14ac:dyDescent="0.55000000000000004">
      <c r="A326" s="17"/>
      <c r="B326" s="365"/>
      <c r="C326" s="359"/>
      <c r="D326" s="41" t="s">
        <v>38</v>
      </c>
      <c r="E326" s="42"/>
      <c r="F326" s="286"/>
      <c r="G326" s="42"/>
      <c r="H326" s="286"/>
      <c r="I326" s="43"/>
      <c r="J326" s="43"/>
      <c r="K326" s="43"/>
      <c r="L326" s="44" t="s">
        <v>183</v>
      </c>
      <c r="M326" s="44"/>
      <c r="N326" s="45"/>
      <c r="O326" s="46">
        <f>SUM(O320:O325)</f>
        <v>378960.43</v>
      </c>
    </row>
    <row r="327" spans="1:15" ht="60" customHeight="1" thickBot="1" x14ac:dyDescent="0.55000000000000004">
      <c r="A327" s="22"/>
      <c r="B327" s="279"/>
      <c r="C327" s="278"/>
      <c r="D327" s="60"/>
      <c r="E327" s="61"/>
      <c r="F327" s="286"/>
      <c r="G327" s="61"/>
      <c r="H327" s="286"/>
      <c r="I327" s="60"/>
      <c r="J327" s="60"/>
      <c r="K327" s="60"/>
      <c r="L327" s="62"/>
      <c r="M327" s="62"/>
      <c r="N327" s="63"/>
      <c r="O327" s="64"/>
    </row>
    <row r="328" spans="1:15" ht="60" customHeight="1" thickBot="1" x14ac:dyDescent="0.35">
      <c r="A328" s="8" t="s">
        <v>3</v>
      </c>
      <c r="B328" s="9" t="s">
        <v>0</v>
      </c>
      <c r="C328" s="11" t="s">
        <v>1</v>
      </c>
      <c r="D328" s="32" t="s">
        <v>34</v>
      </c>
      <c r="E328" s="11" t="s">
        <v>198</v>
      </c>
      <c r="F328" s="286" t="s">
        <v>199</v>
      </c>
      <c r="G328" s="11" t="s">
        <v>197</v>
      </c>
      <c r="H328" s="286" t="s">
        <v>184</v>
      </c>
      <c r="I328" s="10" t="s">
        <v>2</v>
      </c>
      <c r="J328" s="10" t="s">
        <v>39</v>
      </c>
      <c r="K328" s="11" t="s">
        <v>40</v>
      </c>
      <c r="L328" s="13" t="s">
        <v>14</v>
      </c>
      <c r="M328" s="14" t="s">
        <v>15</v>
      </c>
      <c r="N328" s="15" t="s">
        <v>11</v>
      </c>
      <c r="O328" s="16" t="s">
        <v>76</v>
      </c>
    </row>
    <row r="329" spans="1:15" ht="60" customHeight="1" thickBot="1" x14ac:dyDescent="0.55000000000000004">
      <c r="A329" s="17">
        <v>1</v>
      </c>
      <c r="B329" s="363" t="s">
        <v>58</v>
      </c>
      <c r="C329" s="357">
        <v>802</v>
      </c>
      <c r="D329" s="52" t="s">
        <v>35</v>
      </c>
      <c r="E329" s="262">
        <v>3727.95</v>
      </c>
      <c r="F329" s="286">
        <v>46163</v>
      </c>
      <c r="G329" s="262">
        <v>3803.95</v>
      </c>
      <c r="H329" s="286">
        <v>46197</v>
      </c>
      <c r="I329" s="34">
        <f>G329-E329</f>
        <v>76</v>
      </c>
      <c r="J329" s="34"/>
      <c r="K329" s="34">
        <v>257</v>
      </c>
      <c r="L329" s="360">
        <v>0.44</v>
      </c>
      <c r="M329" s="36">
        <f t="shared" ref="M329:M334" si="36">I329*K329+J329</f>
        <v>19532</v>
      </c>
      <c r="N329" s="37">
        <v>0</v>
      </c>
      <c r="O329" s="38">
        <f>M329-N329</f>
        <v>19532</v>
      </c>
    </row>
    <row r="330" spans="1:15" ht="60" customHeight="1" thickBot="1" x14ac:dyDescent="0.55000000000000004">
      <c r="A330" s="17"/>
      <c r="B330" s="364"/>
      <c r="C330" s="358"/>
      <c r="D330" s="21" t="s">
        <v>36</v>
      </c>
      <c r="E330" s="261">
        <v>486</v>
      </c>
      <c r="F330" s="286">
        <v>46163</v>
      </c>
      <c r="G330" s="261">
        <v>498</v>
      </c>
      <c r="H330" s="286">
        <v>46197</v>
      </c>
      <c r="I330" s="34">
        <f>G330-E330</f>
        <v>12</v>
      </c>
      <c r="J330" s="34">
        <v>1000</v>
      </c>
      <c r="K330" s="20">
        <v>1200</v>
      </c>
      <c r="L330" s="361"/>
      <c r="M330" s="36">
        <f t="shared" si="36"/>
        <v>15400</v>
      </c>
      <c r="N330" s="19">
        <v>0</v>
      </c>
      <c r="O330" s="38">
        <f>L330+M330-N330</f>
        <v>15400</v>
      </c>
    </row>
    <row r="331" spans="1:15" ht="60" customHeight="1" thickBot="1" x14ac:dyDescent="0.55000000000000004">
      <c r="A331" s="17"/>
      <c r="B331" s="364"/>
      <c r="C331" s="358"/>
      <c r="D331" s="53" t="s">
        <v>37</v>
      </c>
      <c r="E331" s="40">
        <v>0</v>
      </c>
      <c r="F331" s="286">
        <v>46163</v>
      </c>
      <c r="G331" s="40">
        <v>0</v>
      </c>
      <c r="H331" s="286">
        <v>46197</v>
      </c>
      <c r="I331" s="39">
        <v>1</v>
      </c>
      <c r="J331" s="39"/>
      <c r="K331" s="66">
        <v>25000</v>
      </c>
      <c r="L331" s="361"/>
      <c r="M331" s="36">
        <f t="shared" si="36"/>
        <v>25000</v>
      </c>
      <c r="N331" s="23">
        <v>0</v>
      </c>
      <c r="O331" s="38">
        <f>L331+M331-N331</f>
        <v>25000</v>
      </c>
    </row>
    <row r="332" spans="1:15" ht="60" customHeight="1" thickBot="1" x14ac:dyDescent="0.55000000000000004">
      <c r="A332" s="17"/>
      <c r="B332" s="364"/>
      <c r="C332" s="358"/>
      <c r="D332" s="59" t="s">
        <v>42</v>
      </c>
      <c r="E332" s="56"/>
      <c r="F332" s="286">
        <v>46163</v>
      </c>
      <c r="G332" s="56"/>
      <c r="H332" s="286">
        <v>46162</v>
      </c>
      <c r="I332" s="55">
        <v>0</v>
      </c>
      <c r="J332" s="55"/>
      <c r="K332" s="55">
        <v>0</v>
      </c>
      <c r="L332" s="361"/>
      <c r="M332" s="36">
        <f t="shared" si="36"/>
        <v>0</v>
      </c>
      <c r="N332" s="58"/>
      <c r="O332" s="38">
        <f>L332+M332-N332</f>
        <v>0</v>
      </c>
    </row>
    <row r="333" spans="1:15" ht="60" customHeight="1" thickBot="1" x14ac:dyDescent="0.55000000000000004">
      <c r="A333" s="17"/>
      <c r="B333" s="364"/>
      <c r="C333" s="358"/>
      <c r="D333" s="52" t="s">
        <v>85</v>
      </c>
      <c r="E333" s="35"/>
      <c r="F333" s="286"/>
      <c r="G333" s="35"/>
      <c r="H333" s="286"/>
      <c r="I333" s="55">
        <v>1</v>
      </c>
      <c r="J333" s="34"/>
      <c r="K333" s="34">
        <v>2000</v>
      </c>
      <c r="L333" s="361"/>
      <c r="M333" s="36">
        <f t="shared" si="36"/>
        <v>2000</v>
      </c>
      <c r="N333" s="37"/>
      <c r="O333" s="38">
        <f>L333+M333-N333</f>
        <v>2000</v>
      </c>
    </row>
    <row r="334" spans="1:15" ht="60" customHeight="1" thickBot="1" x14ac:dyDescent="0.55000000000000004">
      <c r="A334" s="17"/>
      <c r="B334" s="364"/>
      <c r="C334" s="358"/>
      <c r="D334" s="59" t="s">
        <v>14</v>
      </c>
      <c r="E334" s="56"/>
      <c r="F334" s="286"/>
      <c r="G334" s="56"/>
      <c r="H334" s="286"/>
      <c r="I334" s="55"/>
      <c r="J334" s="55"/>
      <c r="K334" s="55"/>
      <c r="L334" s="362"/>
      <c r="M334" s="36">
        <f t="shared" si="36"/>
        <v>0</v>
      </c>
      <c r="N334" s="58"/>
      <c r="O334" s="38">
        <f>L329</f>
        <v>0.44</v>
      </c>
    </row>
    <row r="335" spans="1:15" ht="60" customHeight="1" thickBot="1" x14ac:dyDescent="0.55000000000000004">
      <c r="A335" s="17"/>
      <c r="B335" s="365"/>
      <c r="C335" s="359"/>
      <c r="D335" s="41" t="s">
        <v>38</v>
      </c>
      <c r="E335" s="42"/>
      <c r="F335" s="286"/>
      <c r="G335" s="42"/>
      <c r="H335" s="286"/>
      <c r="I335" s="43"/>
      <c r="J335" s="43"/>
      <c r="K335" s="43"/>
      <c r="L335" s="44"/>
      <c r="M335" s="44"/>
      <c r="N335" s="45"/>
      <c r="O335" s="46">
        <f>SUM(O329:O334)</f>
        <v>61932.44</v>
      </c>
    </row>
    <row r="336" spans="1:15" ht="60" customHeight="1" thickBot="1" x14ac:dyDescent="0.55000000000000004">
      <c r="A336" s="22"/>
      <c r="B336" s="279"/>
      <c r="C336" s="278"/>
      <c r="D336" s="60"/>
      <c r="E336" s="61"/>
      <c r="F336" s="286"/>
      <c r="G336" s="61"/>
      <c r="H336" s="286"/>
      <c r="I336" s="60"/>
      <c r="J336" s="60"/>
      <c r="K336" s="60"/>
      <c r="L336" s="62"/>
      <c r="M336" s="62"/>
      <c r="N336" s="63"/>
      <c r="O336" s="64"/>
    </row>
    <row r="337" spans="1:15" ht="60" customHeight="1" thickBot="1" x14ac:dyDescent="0.35">
      <c r="A337" s="8" t="s">
        <v>3</v>
      </c>
      <c r="B337" s="9" t="s">
        <v>0</v>
      </c>
      <c r="C337" s="11" t="s">
        <v>1</v>
      </c>
      <c r="D337" s="32" t="s">
        <v>34</v>
      </c>
      <c r="E337" s="11" t="s">
        <v>198</v>
      </c>
      <c r="F337" s="286" t="s">
        <v>199</v>
      </c>
      <c r="G337" s="11" t="s">
        <v>197</v>
      </c>
      <c r="H337" s="286" t="s">
        <v>184</v>
      </c>
      <c r="I337" s="10" t="s">
        <v>2</v>
      </c>
      <c r="J337" s="10" t="s">
        <v>39</v>
      </c>
      <c r="K337" s="11" t="s">
        <v>40</v>
      </c>
      <c r="L337" s="13" t="s">
        <v>14</v>
      </c>
      <c r="M337" s="14" t="s">
        <v>15</v>
      </c>
      <c r="N337" s="15" t="s">
        <v>11</v>
      </c>
      <c r="O337" s="16" t="s">
        <v>76</v>
      </c>
    </row>
    <row r="338" spans="1:15" ht="60" customHeight="1" thickBot="1" x14ac:dyDescent="0.55000000000000004">
      <c r="A338" s="17">
        <v>1</v>
      </c>
      <c r="B338" s="363" t="s">
        <v>59</v>
      </c>
      <c r="C338" s="357">
        <v>803</v>
      </c>
      <c r="D338" s="52" t="s">
        <v>35</v>
      </c>
      <c r="E338" s="262">
        <v>2513.42</v>
      </c>
      <c r="F338" s="286">
        <v>46163</v>
      </c>
      <c r="G338" s="262">
        <v>2517.17</v>
      </c>
      <c r="H338" s="286">
        <v>46197</v>
      </c>
      <c r="I338" s="34">
        <f>G338-E338</f>
        <v>3.75</v>
      </c>
      <c r="J338" s="34"/>
      <c r="K338" s="34">
        <v>257</v>
      </c>
      <c r="L338" s="360">
        <v>-70384.3</v>
      </c>
      <c r="M338" s="36">
        <f t="shared" ref="M338:M343" si="37">I338*K338+J338</f>
        <v>963.75</v>
      </c>
      <c r="N338" s="37">
        <v>0</v>
      </c>
      <c r="O338" s="38">
        <f>M338-N338</f>
        <v>963.75</v>
      </c>
    </row>
    <row r="339" spans="1:15" ht="60" customHeight="1" thickBot="1" x14ac:dyDescent="0.55000000000000004">
      <c r="A339" s="17"/>
      <c r="B339" s="364"/>
      <c r="C339" s="358"/>
      <c r="D339" s="21" t="s">
        <v>36</v>
      </c>
      <c r="E339" s="261">
        <v>430</v>
      </c>
      <c r="F339" s="286">
        <v>46163</v>
      </c>
      <c r="G339" s="261">
        <v>437</v>
      </c>
      <c r="H339" s="286">
        <v>46197</v>
      </c>
      <c r="I339" s="34">
        <f>G339-E339</f>
        <v>7</v>
      </c>
      <c r="J339" s="34">
        <v>1000</v>
      </c>
      <c r="K339" s="20">
        <v>1200</v>
      </c>
      <c r="L339" s="361"/>
      <c r="M339" s="36">
        <f t="shared" si="37"/>
        <v>9400</v>
      </c>
      <c r="N339" s="19">
        <v>0</v>
      </c>
      <c r="O339" s="38">
        <f>L339+M339-N339</f>
        <v>9400</v>
      </c>
    </row>
    <row r="340" spans="1:15" ht="60" customHeight="1" thickBot="1" x14ac:dyDescent="0.55000000000000004">
      <c r="A340" s="17"/>
      <c r="B340" s="364"/>
      <c r="C340" s="358"/>
      <c r="D340" s="53" t="s">
        <v>37</v>
      </c>
      <c r="E340" s="40">
        <v>0</v>
      </c>
      <c r="F340" s="286">
        <v>46163</v>
      </c>
      <c r="G340" s="40">
        <v>0</v>
      </c>
      <c r="H340" s="286">
        <v>46197</v>
      </c>
      <c r="I340" s="39">
        <v>1</v>
      </c>
      <c r="J340" s="39"/>
      <c r="K340" s="39">
        <v>25000</v>
      </c>
      <c r="L340" s="361"/>
      <c r="M340" s="36">
        <f t="shared" si="37"/>
        <v>25000</v>
      </c>
      <c r="N340" s="23">
        <v>0</v>
      </c>
      <c r="O340" s="38">
        <f>L340+M340-N340</f>
        <v>25000</v>
      </c>
    </row>
    <row r="341" spans="1:15" ht="37.5" customHeight="1" thickBot="1" x14ac:dyDescent="0.55000000000000004">
      <c r="A341" s="17"/>
      <c r="B341" s="364"/>
      <c r="C341" s="358"/>
      <c r="D341" s="59" t="s">
        <v>42</v>
      </c>
      <c r="E341" s="56"/>
      <c r="F341" s="286">
        <v>46163</v>
      </c>
      <c r="G341" s="56"/>
      <c r="H341" s="286">
        <v>46162</v>
      </c>
      <c r="I341" s="55">
        <v>0</v>
      </c>
      <c r="J341" s="55"/>
      <c r="K341" s="55"/>
      <c r="L341" s="361"/>
      <c r="M341" s="36">
        <f t="shared" si="37"/>
        <v>0</v>
      </c>
      <c r="N341" s="58"/>
      <c r="O341" s="38">
        <f>L341+M341-N341</f>
        <v>0</v>
      </c>
    </row>
    <row r="342" spans="1:15" ht="30" customHeight="1" thickBot="1" x14ac:dyDescent="0.55000000000000004">
      <c r="A342" s="17"/>
      <c r="B342" s="364"/>
      <c r="C342" s="358"/>
      <c r="D342" s="52" t="s">
        <v>85</v>
      </c>
      <c r="E342" s="35"/>
      <c r="F342" s="286"/>
      <c r="G342" s="35"/>
      <c r="H342" s="286"/>
      <c r="I342" s="55">
        <v>1</v>
      </c>
      <c r="J342" s="34"/>
      <c r="K342" s="34">
        <v>2000</v>
      </c>
      <c r="L342" s="361"/>
      <c r="M342" s="36">
        <f t="shared" si="37"/>
        <v>2000</v>
      </c>
      <c r="N342" s="37"/>
      <c r="O342" s="38">
        <f>L342+M342-N342</f>
        <v>2000</v>
      </c>
    </row>
    <row r="343" spans="1:15" ht="42.75" customHeight="1" thickBot="1" x14ac:dyDescent="0.55000000000000004">
      <c r="A343" s="17"/>
      <c r="B343" s="364"/>
      <c r="C343" s="358"/>
      <c r="D343" s="59" t="s">
        <v>14</v>
      </c>
      <c r="E343" s="56"/>
      <c r="F343" s="286"/>
      <c r="G343" s="56"/>
      <c r="H343" s="286"/>
      <c r="I343" s="55"/>
      <c r="J343" s="55"/>
      <c r="K343" s="55"/>
      <c r="L343" s="362"/>
      <c r="M343" s="36">
        <f t="shared" si="37"/>
        <v>0</v>
      </c>
      <c r="N343" s="58"/>
      <c r="O343" s="38">
        <f>L338</f>
        <v>-70384.3</v>
      </c>
    </row>
    <row r="344" spans="1:15" ht="60" customHeight="1" thickBot="1" x14ac:dyDescent="0.55000000000000004">
      <c r="A344" s="17"/>
      <c r="B344" s="365"/>
      <c r="C344" s="359"/>
      <c r="D344" s="41" t="s">
        <v>38</v>
      </c>
      <c r="E344" s="42"/>
      <c r="F344" s="286"/>
      <c r="G344" s="42"/>
      <c r="H344" s="286"/>
      <c r="I344" s="43"/>
      <c r="J344" s="43"/>
      <c r="K344" s="43"/>
      <c r="L344" s="44"/>
      <c r="M344" s="44"/>
      <c r="N344" s="45"/>
      <c r="O344" s="46">
        <f>SUM(O338:O343)</f>
        <v>-33020.550000000003</v>
      </c>
    </row>
    <row r="345" spans="1:15" ht="60" customHeight="1" thickBot="1" x14ac:dyDescent="0.55000000000000004">
      <c r="A345" s="22"/>
      <c r="B345" s="279"/>
      <c r="C345" s="278"/>
      <c r="D345" s="60"/>
      <c r="E345" s="61"/>
      <c r="F345" s="286"/>
      <c r="G345" s="61"/>
      <c r="H345" s="286"/>
      <c r="I345" s="60"/>
      <c r="J345" s="60"/>
      <c r="K345" s="60"/>
      <c r="L345" s="62"/>
      <c r="M345" s="62"/>
      <c r="N345" s="63"/>
      <c r="O345" s="64"/>
    </row>
    <row r="346" spans="1:15" ht="60" customHeight="1" thickBot="1" x14ac:dyDescent="0.35">
      <c r="A346" s="8" t="s">
        <v>3</v>
      </c>
      <c r="B346" s="9" t="s">
        <v>0</v>
      </c>
      <c r="C346" s="11" t="s">
        <v>1</v>
      </c>
      <c r="D346" s="32" t="s">
        <v>34</v>
      </c>
      <c r="E346" s="11" t="s">
        <v>198</v>
      </c>
      <c r="F346" s="286" t="s">
        <v>199</v>
      </c>
      <c r="G346" s="11" t="s">
        <v>197</v>
      </c>
      <c r="H346" s="286" t="s">
        <v>184</v>
      </c>
      <c r="I346" s="10" t="s">
        <v>2</v>
      </c>
      <c r="J346" s="10" t="s">
        <v>39</v>
      </c>
      <c r="K346" s="11" t="s">
        <v>40</v>
      </c>
      <c r="L346" s="13" t="s">
        <v>14</v>
      </c>
      <c r="M346" s="14" t="s">
        <v>15</v>
      </c>
      <c r="N346" s="15" t="s">
        <v>11</v>
      </c>
      <c r="O346" s="16" t="s">
        <v>76</v>
      </c>
    </row>
    <row r="347" spans="1:15" ht="60" customHeight="1" thickBot="1" x14ac:dyDescent="0.55000000000000004">
      <c r="A347" s="17">
        <v>1</v>
      </c>
      <c r="B347" s="354" t="s">
        <v>33</v>
      </c>
      <c r="C347" s="357">
        <v>804</v>
      </c>
      <c r="D347" s="52" t="s">
        <v>35</v>
      </c>
      <c r="E347" s="262">
        <v>3554.19</v>
      </c>
      <c r="F347" s="286">
        <v>46163</v>
      </c>
      <c r="G347" s="262">
        <v>3616.57</v>
      </c>
      <c r="H347" s="286">
        <v>46197</v>
      </c>
      <c r="I347" s="34">
        <f>G347-E347</f>
        <v>62.380000000000109</v>
      </c>
      <c r="J347" s="34"/>
      <c r="K347" s="34">
        <v>257</v>
      </c>
      <c r="L347" s="360">
        <v>0.41</v>
      </c>
      <c r="M347" s="36">
        <f t="shared" ref="M347:M352" si="38">I347*K347+J347</f>
        <v>16031.660000000029</v>
      </c>
      <c r="N347" s="37">
        <v>0</v>
      </c>
      <c r="O347" s="38">
        <f>M347-N347</f>
        <v>16031.660000000029</v>
      </c>
    </row>
    <row r="348" spans="1:15" ht="60" customHeight="1" thickBot="1" x14ac:dyDescent="0.55000000000000004">
      <c r="A348" s="17"/>
      <c r="B348" s="355"/>
      <c r="C348" s="358"/>
      <c r="D348" s="21" t="s">
        <v>36</v>
      </c>
      <c r="E348" s="261">
        <v>843</v>
      </c>
      <c r="F348" s="286">
        <v>46163</v>
      </c>
      <c r="G348" s="261">
        <v>868</v>
      </c>
      <c r="H348" s="286">
        <v>46197</v>
      </c>
      <c r="I348" s="34">
        <f>G348-E348</f>
        <v>25</v>
      </c>
      <c r="J348" s="34">
        <v>1000</v>
      </c>
      <c r="K348" s="20">
        <v>1200</v>
      </c>
      <c r="L348" s="361"/>
      <c r="M348" s="36">
        <f t="shared" si="38"/>
        <v>31000</v>
      </c>
      <c r="N348" s="19">
        <v>0</v>
      </c>
      <c r="O348" s="38">
        <f>L348+M348-N348</f>
        <v>31000</v>
      </c>
    </row>
    <row r="349" spans="1:15" ht="60" customHeight="1" thickBot="1" x14ac:dyDescent="0.55000000000000004">
      <c r="A349" s="17"/>
      <c r="B349" s="355"/>
      <c r="C349" s="358"/>
      <c r="D349" s="53" t="s">
        <v>37</v>
      </c>
      <c r="E349" s="40">
        <v>0</v>
      </c>
      <c r="F349" s="286">
        <v>46163</v>
      </c>
      <c r="G349" s="40">
        <v>0</v>
      </c>
      <c r="H349" s="286">
        <v>46197</v>
      </c>
      <c r="I349" s="39">
        <v>1</v>
      </c>
      <c r="J349" s="39"/>
      <c r="K349" s="39">
        <v>25000</v>
      </c>
      <c r="L349" s="361"/>
      <c r="M349" s="36">
        <f t="shared" si="38"/>
        <v>25000</v>
      </c>
      <c r="N349" s="23">
        <v>0</v>
      </c>
      <c r="O349" s="38">
        <f>L349+M349-N349</f>
        <v>25000</v>
      </c>
    </row>
    <row r="350" spans="1:15" ht="60" customHeight="1" thickBot="1" x14ac:dyDescent="0.55000000000000004">
      <c r="A350" s="17"/>
      <c r="B350" s="355"/>
      <c r="C350" s="358"/>
      <c r="D350" s="59" t="s">
        <v>42</v>
      </c>
      <c r="E350" s="56"/>
      <c r="F350" s="286"/>
      <c r="G350" s="56"/>
      <c r="H350" s="286"/>
      <c r="I350" s="55">
        <v>0</v>
      </c>
      <c r="J350" s="55"/>
      <c r="K350" s="55">
        <v>0</v>
      </c>
      <c r="L350" s="361"/>
      <c r="M350" s="36">
        <f t="shared" si="38"/>
        <v>0</v>
      </c>
      <c r="N350" s="58"/>
      <c r="O350" s="38">
        <f>L350+M350-N350</f>
        <v>0</v>
      </c>
    </row>
    <row r="351" spans="1:15" ht="60" customHeight="1" thickBot="1" x14ac:dyDescent="0.55000000000000004">
      <c r="A351" s="17"/>
      <c r="B351" s="355"/>
      <c r="C351" s="358"/>
      <c r="D351" s="52" t="s">
        <v>85</v>
      </c>
      <c r="E351" s="35"/>
      <c r="F351" s="286"/>
      <c r="G351" s="35"/>
      <c r="H351" s="286"/>
      <c r="I351" s="55">
        <v>1</v>
      </c>
      <c r="J351" s="34"/>
      <c r="K351" s="34">
        <v>2000</v>
      </c>
      <c r="L351" s="361"/>
      <c r="M351" s="36">
        <f t="shared" si="38"/>
        <v>2000</v>
      </c>
      <c r="N351" s="37"/>
      <c r="O351" s="38">
        <f>L351+M351-N351</f>
        <v>2000</v>
      </c>
    </row>
    <row r="352" spans="1:15" ht="60" customHeight="1" thickBot="1" x14ac:dyDescent="0.55000000000000004">
      <c r="A352" s="17"/>
      <c r="B352" s="355"/>
      <c r="C352" s="358"/>
      <c r="D352" s="59" t="s">
        <v>14</v>
      </c>
      <c r="E352" s="56"/>
      <c r="F352" s="286"/>
      <c r="G352" s="56"/>
      <c r="H352" s="286"/>
      <c r="I352" s="55"/>
      <c r="J352" s="55"/>
      <c r="K352" s="55"/>
      <c r="L352" s="362"/>
      <c r="M352" s="36">
        <f t="shared" si="38"/>
        <v>0</v>
      </c>
      <c r="N352" s="58"/>
      <c r="O352" s="38">
        <f>L347</f>
        <v>0.41</v>
      </c>
    </row>
    <row r="353" spans="1:15" ht="60" customHeight="1" thickBot="1" x14ac:dyDescent="0.55000000000000004">
      <c r="A353" s="17"/>
      <c r="B353" s="356"/>
      <c r="C353" s="359"/>
      <c r="D353" s="41" t="s">
        <v>38</v>
      </c>
      <c r="E353" s="42"/>
      <c r="F353" s="286"/>
      <c r="G353" s="42"/>
      <c r="H353" s="286"/>
      <c r="I353" s="43"/>
      <c r="J353" s="43"/>
      <c r="K353" s="43"/>
      <c r="L353" s="44"/>
      <c r="M353" s="44"/>
      <c r="N353" s="45"/>
      <c r="O353" s="46">
        <f>SUM(O347:O352)</f>
        <v>74032.070000000036</v>
      </c>
    </row>
    <row r="354" spans="1:15" ht="60" customHeight="1" thickBot="1" x14ac:dyDescent="0.55000000000000004">
      <c r="A354" s="22"/>
      <c r="B354" s="276"/>
      <c r="C354" s="278"/>
      <c r="D354" s="60"/>
      <c r="E354" s="61"/>
      <c r="F354" s="286"/>
      <c r="G354" s="61"/>
      <c r="H354" s="286"/>
      <c r="I354" s="60"/>
      <c r="J354" s="60"/>
      <c r="K354" s="60"/>
      <c r="L354" s="62"/>
      <c r="M354" s="62"/>
      <c r="N354" s="63"/>
      <c r="O354" s="64"/>
    </row>
    <row r="355" spans="1:15" ht="60" customHeight="1" thickBot="1" x14ac:dyDescent="0.35">
      <c r="A355" s="8" t="s">
        <v>3</v>
      </c>
      <c r="B355" s="9" t="s">
        <v>0</v>
      </c>
      <c r="C355" s="11" t="s">
        <v>1</v>
      </c>
      <c r="D355" s="32" t="s">
        <v>34</v>
      </c>
      <c r="E355" s="11" t="s">
        <v>198</v>
      </c>
      <c r="F355" s="286" t="s">
        <v>199</v>
      </c>
      <c r="G355" s="11" t="s">
        <v>197</v>
      </c>
      <c r="H355" s="286" t="s">
        <v>184</v>
      </c>
      <c r="I355" s="10" t="s">
        <v>2</v>
      </c>
      <c r="J355" s="10" t="s">
        <v>39</v>
      </c>
      <c r="K355" s="11" t="s">
        <v>40</v>
      </c>
      <c r="L355" s="13" t="s">
        <v>14</v>
      </c>
      <c r="M355" s="14" t="s">
        <v>15</v>
      </c>
      <c r="N355" s="15" t="s">
        <v>11</v>
      </c>
      <c r="O355" s="16" t="s">
        <v>76</v>
      </c>
    </row>
    <row r="356" spans="1:15" ht="60" customHeight="1" thickBot="1" x14ac:dyDescent="0.55000000000000004">
      <c r="A356" s="17">
        <v>1</v>
      </c>
      <c r="B356" s="354" t="s">
        <v>60</v>
      </c>
      <c r="C356" s="357">
        <v>805</v>
      </c>
      <c r="D356" s="52" t="s">
        <v>35</v>
      </c>
      <c r="E356" s="262">
        <v>2227.33</v>
      </c>
      <c r="F356" s="286">
        <v>46163</v>
      </c>
      <c r="G356" s="262">
        <v>2248.4</v>
      </c>
      <c r="H356" s="286">
        <v>46197</v>
      </c>
      <c r="I356" s="34">
        <f>G356-E356</f>
        <v>21.070000000000164</v>
      </c>
      <c r="J356" s="34"/>
      <c r="K356" s="34">
        <v>257</v>
      </c>
      <c r="L356" s="360">
        <v>51.67</v>
      </c>
      <c r="M356" s="36">
        <f t="shared" ref="M356:M361" si="39">I356*K356+J356</f>
        <v>5414.9900000000416</v>
      </c>
      <c r="N356" s="37">
        <v>0</v>
      </c>
      <c r="O356" s="38">
        <f>M356-N356</f>
        <v>5414.9900000000416</v>
      </c>
    </row>
    <row r="357" spans="1:15" ht="60" customHeight="1" thickBot="1" x14ac:dyDescent="0.55000000000000004">
      <c r="A357" s="17"/>
      <c r="B357" s="355"/>
      <c r="C357" s="358"/>
      <c r="D357" s="21" t="s">
        <v>36</v>
      </c>
      <c r="E357" s="261">
        <v>556</v>
      </c>
      <c r="F357" s="286">
        <v>46163</v>
      </c>
      <c r="G357" s="261">
        <v>571</v>
      </c>
      <c r="H357" s="286">
        <v>46197</v>
      </c>
      <c r="I357" s="34">
        <f>G357-E357</f>
        <v>15</v>
      </c>
      <c r="J357" s="34">
        <v>1000</v>
      </c>
      <c r="K357" s="20">
        <v>1200</v>
      </c>
      <c r="L357" s="361"/>
      <c r="M357" s="36">
        <f t="shared" si="39"/>
        <v>19000</v>
      </c>
      <c r="N357" s="19">
        <v>0</v>
      </c>
      <c r="O357" s="38">
        <f>L357+M357-N357</f>
        <v>19000</v>
      </c>
    </row>
    <row r="358" spans="1:15" ht="60" customHeight="1" thickBot="1" x14ac:dyDescent="0.55000000000000004">
      <c r="A358" s="17"/>
      <c r="B358" s="355"/>
      <c r="C358" s="358"/>
      <c r="D358" s="53" t="s">
        <v>37</v>
      </c>
      <c r="E358" s="40">
        <v>0</v>
      </c>
      <c r="F358" s="286">
        <v>46163</v>
      </c>
      <c r="G358" s="40">
        <v>0</v>
      </c>
      <c r="H358" s="286">
        <v>46197</v>
      </c>
      <c r="I358" s="39">
        <v>1</v>
      </c>
      <c r="J358" s="39"/>
      <c r="K358" s="39">
        <v>25000</v>
      </c>
      <c r="L358" s="361"/>
      <c r="M358" s="36">
        <f t="shared" si="39"/>
        <v>25000</v>
      </c>
      <c r="N358" s="23">
        <v>0</v>
      </c>
      <c r="O358" s="38">
        <f>L358+M358-N358</f>
        <v>25000</v>
      </c>
    </row>
    <row r="359" spans="1:15" ht="60" customHeight="1" thickBot="1" x14ac:dyDescent="0.55000000000000004">
      <c r="A359" s="17"/>
      <c r="B359" s="355"/>
      <c r="C359" s="358"/>
      <c r="D359" s="59" t="s">
        <v>42</v>
      </c>
      <c r="E359" s="56"/>
      <c r="F359" s="286"/>
      <c r="G359" s="56"/>
      <c r="H359" s="286"/>
      <c r="I359" s="55">
        <v>0</v>
      </c>
      <c r="J359" s="55"/>
      <c r="K359" s="55">
        <v>0</v>
      </c>
      <c r="L359" s="361"/>
      <c r="M359" s="36">
        <f t="shared" si="39"/>
        <v>0</v>
      </c>
      <c r="N359" s="58"/>
      <c r="O359" s="38">
        <f>L359+M359-N359</f>
        <v>0</v>
      </c>
    </row>
    <row r="360" spans="1:15" ht="60" customHeight="1" thickBot="1" x14ac:dyDescent="0.55000000000000004">
      <c r="A360" s="17"/>
      <c r="B360" s="355"/>
      <c r="C360" s="358"/>
      <c r="D360" s="52" t="s">
        <v>85</v>
      </c>
      <c r="E360" s="35"/>
      <c r="F360" s="286"/>
      <c r="G360" s="35"/>
      <c r="H360" s="286"/>
      <c r="I360" s="55">
        <v>1</v>
      </c>
      <c r="J360" s="34"/>
      <c r="K360" s="34">
        <v>2000</v>
      </c>
      <c r="L360" s="361"/>
      <c r="M360" s="36">
        <f t="shared" si="39"/>
        <v>2000</v>
      </c>
      <c r="N360" s="37"/>
      <c r="O360" s="38">
        <f>L360+M360-N360</f>
        <v>2000</v>
      </c>
    </row>
    <row r="361" spans="1:15" ht="60" customHeight="1" thickBot="1" x14ac:dyDescent="0.55000000000000004">
      <c r="A361" s="17"/>
      <c r="B361" s="355"/>
      <c r="C361" s="358"/>
      <c r="D361" s="59" t="s">
        <v>14</v>
      </c>
      <c r="E361" s="56"/>
      <c r="F361" s="286"/>
      <c r="G361" s="56"/>
      <c r="H361" s="286"/>
      <c r="I361" s="55"/>
      <c r="J361" s="55"/>
      <c r="K361" s="55"/>
      <c r="L361" s="362"/>
      <c r="M361" s="36">
        <f t="shared" si="39"/>
        <v>0</v>
      </c>
      <c r="N361" s="58"/>
      <c r="O361" s="38">
        <f>L356</f>
        <v>51.67</v>
      </c>
    </row>
    <row r="362" spans="1:15" ht="60" customHeight="1" thickBot="1" x14ac:dyDescent="0.55000000000000004">
      <c r="A362" s="17"/>
      <c r="B362" s="356"/>
      <c r="C362" s="359"/>
      <c r="D362" s="41" t="s">
        <v>38</v>
      </c>
      <c r="E362" s="42"/>
      <c r="F362" s="286"/>
      <c r="G362" s="42"/>
      <c r="H362" s="286"/>
      <c r="I362" s="43"/>
      <c r="J362" s="43"/>
      <c r="K362" s="43"/>
      <c r="L362" s="44"/>
      <c r="M362" s="44"/>
      <c r="N362" s="45"/>
      <c r="O362" s="46">
        <f>SUM(O356:O361)</f>
        <v>51466.66000000004</v>
      </c>
    </row>
    <row r="363" spans="1:15" ht="60" customHeight="1" thickBot="1" x14ac:dyDescent="0.55000000000000004">
      <c r="A363" s="22"/>
      <c r="B363" s="276"/>
      <c r="C363" s="278"/>
      <c r="D363" s="60"/>
      <c r="E363" s="61"/>
      <c r="F363" s="286"/>
      <c r="G363" s="61"/>
      <c r="H363" s="286"/>
      <c r="I363" s="60"/>
      <c r="J363" s="60"/>
      <c r="K363" s="60"/>
      <c r="L363" s="62"/>
      <c r="M363" s="62"/>
      <c r="N363" s="63"/>
      <c r="O363" s="64"/>
    </row>
    <row r="364" spans="1:15" ht="60" customHeight="1" thickBot="1" x14ac:dyDescent="0.35">
      <c r="A364" s="8" t="s">
        <v>3</v>
      </c>
      <c r="B364" s="9" t="s">
        <v>0</v>
      </c>
      <c r="C364" s="11" t="s">
        <v>1</v>
      </c>
      <c r="D364" s="32" t="s">
        <v>34</v>
      </c>
      <c r="E364" s="11" t="s">
        <v>198</v>
      </c>
      <c r="F364" s="286" t="s">
        <v>199</v>
      </c>
      <c r="G364" s="11" t="s">
        <v>197</v>
      </c>
      <c r="H364" s="286" t="s">
        <v>184</v>
      </c>
      <c r="I364" s="10" t="s">
        <v>2</v>
      </c>
      <c r="J364" s="10" t="s">
        <v>39</v>
      </c>
      <c r="K364" s="11" t="s">
        <v>40</v>
      </c>
      <c r="L364" s="13" t="s">
        <v>14</v>
      </c>
      <c r="M364" s="14" t="s">
        <v>15</v>
      </c>
      <c r="N364" s="15" t="s">
        <v>11</v>
      </c>
      <c r="O364" s="16" t="s">
        <v>76</v>
      </c>
    </row>
    <row r="365" spans="1:15" ht="60" customHeight="1" thickBot="1" x14ac:dyDescent="0.55000000000000004">
      <c r="A365" s="17">
        <v>1</v>
      </c>
      <c r="B365" s="354" t="s">
        <v>26</v>
      </c>
      <c r="C365" s="357">
        <v>901</v>
      </c>
      <c r="D365" s="52" t="s">
        <v>35</v>
      </c>
      <c r="E365" s="262">
        <v>6566.64</v>
      </c>
      <c r="F365" s="286">
        <v>46163</v>
      </c>
      <c r="G365" s="262">
        <v>6606.59</v>
      </c>
      <c r="H365" s="286">
        <v>46197</v>
      </c>
      <c r="I365" s="34">
        <f>G365-E365</f>
        <v>39.949999999999818</v>
      </c>
      <c r="J365" s="34"/>
      <c r="K365" s="34">
        <v>257</v>
      </c>
      <c r="L365" s="360">
        <v>38025.22</v>
      </c>
      <c r="M365" s="36">
        <f t="shared" ref="M365:M370" si="40">I365*K365+J365</f>
        <v>10267.149999999954</v>
      </c>
      <c r="N365" s="37"/>
      <c r="O365" s="38">
        <f>M365-N365</f>
        <v>10267.149999999954</v>
      </c>
    </row>
    <row r="366" spans="1:15" ht="60" customHeight="1" thickBot="1" x14ac:dyDescent="0.55000000000000004">
      <c r="A366" s="17"/>
      <c r="B366" s="355"/>
      <c r="C366" s="358"/>
      <c r="D366" s="21" t="s">
        <v>36</v>
      </c>
      <c r="E366" s="261">
        <v>1751</v>
      </c>
      <c r="F366" s="286">
        <v>46163</v>
      </c>
      <c r="G366" s="261">
        <v>1764</v>
      </c>
      <c r="H366" s="286">
        <v>46197</v>
      </c>
      <c r="I366" s="34">
        <f>G366-E366</f>
        <v>13</v>
      </c>
      <c r="J366" s="34">
        <v>1000</v>
      </c>
      <c r="K366" s="20">
        <v>1200</v>
      </c>
      <c r="L366" s="361"/>
      <c r="M366" s="36">
        <f t="shared" si="40"/>
        <v>16600</v>
      </c>
      <c r="N366" s="19"/>
      <c r="O366" s="38">
        <f>L366+M366-N366</f>
        <v>16600</v>
      </c>
    </row>
    <row r="367" spans="1:15" ht="36.75" customHeight="1" thickBot="1" x14ac:dyDescent="0.55000000000000004">
      <c r="A367" s="17"/>
      <c r="B367" s="355"/>
      <c r="C367" s="358"/>
      <c r="D367" s="53" t="s">
        <v>37</v>
      </c>
      <c r="E367" s="40"/>
      <c r="F367" s="286">
        <v>46163</v>
      </c>
      <c r="G367" s="40"/>
      <c r="H367" s="286">
        <v>46197</v>
      </c>
      <c r="I367" s="39">
        <v>1</v>
      </c>
      <c r="J367" s="39"/>
      <c r="K367" s="39">
        <v>25000</v>
      </c>
      <c r="L367" s="361"/>
      <c r="M367" s="36">
        <f t="shared" si="40"/>
        <v>25000</v>
      </c>
      <c r="N367" s="23"/>
      <c r="O367" s="38">
        <f>L367+M367-N367</f>
        <v>25000</v>
      </c>
    </row>
    <row r="368" spans="1:15" ht="28.5" customHeight="1" thickBot="1" x14ac:dyDescent="0.55000000000000004">
      <c r="A368" s="17"/>
      <c r="B368" s="355"/>
      <c r="C368" s="358"/>
      <c r="D368" s="59" t="s">
        <v>42</v>
      </c>
      <c r="E368" s="56"/>
      <c r="F368" s="286"/>
      <c r="G368" s="56"/>
      <c r="H368" s="286"/>
      <c r="I368" s="55">
        <v>0</v>
      </c>
      <c r="J368" s="55"/>
      <c r="K368" s="55">
        <v>0</v>
      </c>
      <c r="L368" s="361"/>
      <c r="M368" s="36">
        <f t="shared" si="40"/>
        <v>0</v>
      </c>
      <c r="N368" s="58"/>
      <c r="O368" s="38">
        <f>L368+M368-N368</f>
        <v>0</v>
      </c>
    </row>
    <row r="369" spans="1:15" ht="35.25" customHeight="1" thickBot="1" x14ac:dyDescent="0.55000000000000004">
      <c r="A369" s="17"/>
      <c r="B369" s="355"/>
      <c r="C369" s="358"/>
      <c r="D369" s="52" t="s">
        <v>85</v>
      </c>
      <c r="E369" s="35"/>
      <c r="F369" s="286"/>
      <c r="G369" s="35"/>
      <c r="H369" s="286"/>
      <c r="I369" s="55">
        <v>1</v>
      </c>
      <c r="J369" s="34"/>
      <c r="K369" s="34">
        <v>2000</v>
      </c>
      <c r="L369" s="361"/>
      <c r="M369" s="36">
        <f t="shared" si="40"/>
        <v>2000</v>
      </c>
      <c r="N369" s="37"/>
      <c r="O369" s="38">
        <f>L369+M369-N369</f>
        <v>2000</v>
      </c>
    </row>
    <row r="370" spans="1:15" ht="60" customHeight="1" thickBot="1" x14ac:dyDescent="0.55000000000000004">
      <c r="A370" s="17"/>
      <c r="B370" s="355"/>
      <c r="C370" s="358"/>
      <c r="D370" s="59" t="s">
        <v>14</v>
      </c>
      <c r="E370" s="56"/>
      <c r="F370" s="286"/>
      <c r="G370" s="56"/>
      <c r="H370" s="286"/>
      <c r="I370" s="55"/>
      <c r="J370" s="55"/>
      <c r="K370" s="55"/>
      <c r="L370" s="362"/>
      <c r="M370" s="36">
        <f t="shared" si="40"/>
        <v>0</v>
      </c>
      <c r="N370" s="58"/>
      <c r="O370" s="38">
        <f>L365</f>
        <v>38025.22</v>
      </c>
    </row>
    <row r="371" spans="1:15" ht="60" customHeight="1" thickBot="1" x14ac:dyDescent="0.55000000000000004">
      <c r="A371" s="17"/>
      <c r="B371" s="356"/>
      <c r="C371" s="359"/>
      <c r="D371" s="41" t="s">
        <v>38</v>
      </c>
      <c r="E371" s="42"/>
      <c r="F371" s="286"/>
      <c r="G371" s="42"/>
      <c r="H371" s="286"/>
      <c r="I371" s="43"/>
      <c r="J371" s="43"/>
      <c r="K371" s="43"/>
      <c r="L371" s="44"/>
      <c r="M371" s="44"/>
      <c r="N371" s="45"/>
      <c r="O371" s="46">
        <f>SUM(O365:O370)</f>
        <v>91892.369999999952</v>
      </c>
    </row>
    <row r="372" spans="1:15" ht="60" customHeight="1" thickBot="1" x14ac:dyDescent="0.55000000000000004">
      <c r="A372" s="22"/>
      <c r="B372" s="276"/>
      <c r="C372" s="278"/>
      <c r="D372" s="60"/>
      <c r="E372" s="61"/>
      <c r="F372" s="286"/>
      <c r="G372" s="61"/>
      <c r="H372" s="286"/>
      <c r="I372" s="60"/>
      <c r="J372" s="60"/>
      <c r="K372" s="60"/>
      <c r="L372" s="62"/>
      <c r="M372" s="62"/>
      <c r="N372" s="63"/>
      <c r="O372" s="64"/>
    </row>
    <row r="373" spans="1:15" ht="60" customHeight="1" thickBot="1" x14ac:dyDescent="0.35">
      <c r="A373" s="8" t="s">
        <v>3</v>
      </c>
      <c r="B373" s="9" t="s">
        <v>0</v>
      </c>
      <c r="C373" s="11" t="s">
        <v>1</v>
      </c>
      <c r="D373" s="32" t="s">
        <v>34</v>
      </c>
      <c r="E373" s="11" t="s">
        <v>198</v>
      </c>
      <c r="F373" s="286" t="s">
        <v>199</v>
      </c>
      <c r="G373" s="11" t="s">
        <v>197</v>
      </c>
      <c r="H373" s="286" t="s">
        <v>184</v>
      </c>
      <c r="I373" s="10" t="s">
        <v>2</v>
      </c>
      <c r="J373" s="10" t="s">
        <v>39</v>
      </c>
      <c r="K373" s="11" t="s">
        <v>40</v>
      </c>
      <c r="L373" s="13" t="s">
        <v>14</v>
      </c>
      <c r="M373" s="14" t="s">
        <v>15</v>
      </c>
      <c r="N373" s="15" t="s">
        <v>11</v>
      </c>
      <c r="O373" s="16" t="s">
        <v>76</v>
      </c>
    </row>
    <row r="374" spans="1:15" ht="60" customHeight="1" thickBot="1" x14ac:dyDescent="0.55000000000000004">
      <c r="A374" s="17">
        <v>1</v>
      </c>
      <c r="B374" s="354" t="s">
        <v>27</v>
      </c>
      <c r="C374" s="357">
        <v>902</v>
      </c>
      <c r="D374" s="52" t="s">
        <v>35</v>
      </c>
      <c r="E374" s="262">
        <v>7205.29</v>
      </c>
      <c r="F374" s="286">
        <v>46163</v>
      </c>
      <c r="G374" s="262">
        <v>7224.21</v>
      </c>
      <c r="H374" s="286">
        <v>46197</v>
      </c>
      <c r="I374" s="34">
        <f>G374-E374</f>
        <v>18.920000000000073</v>
      </c>
      <c r="J374" s="34"/>
      <c r="K374" s="34">
        <v>257</v>
      </c>
      <c r="L374" s="360">
        <v>668.11</v>
      </c>
      <c r="M374" s="36">
        <f t="shared" ref="M374:M379" si="41">I374*K374+J374</f>
        <v>4862.4400000000187</v>
      </c>
      <c r="N374" s="37">
        <v>0</v>
      </c>
      <c r="O374" s="38">
        <f>M374-N374</f>
        <v>4862.4400000000187</v>
      </c>
    </row>
    <row r="375" spans="1:15" ht="60" customHeight="1" thickBot="1" x14ac:dyDescent="0.55000000000000004">
      <c r="A375" s="17"/>
      <c r="B375" s="355"/>
      <c r="C375" s="358"/>
      <c r="D375" s="21" t="s">
        <v>36</v>
      </c>
      <c r="E375" s="261">
        <v>363</v>
      </c>
      <c r="F375" s="286">
        <v>46163</v>
      </c>
      <c r="G375" s="261">
        <v>364</v>
      </c>
      <c r="H375" s="286">
        <v>46197</v>
      </c>
      <c r="I375" s="34">
        <f>G375-E375</f>
        <v>1</v>
      </c>
      <c r="J375" s="34">
        <v>1000</v>
      </c>
      <c r="K375" s="20">
        <v>1200</v>
      </c>
      <c r="L375" s="361"/>
      <c r="M375" s="36">
        <f t="shared" si="41"/>
        <v>2200</v>
      </c>
      <c r="N375" s="19">
        <v>0</v>
      </c>
      <c r="O375" s="38">
        <f>L375+M375-N375</f>
        <v>2200</v>
      </c>
    </row>
    <row r="376" spans="1:15" ht="60" customHeight="1" thickBot="1" x14ac:dyDescent="0.55000000000000004">
      <c r="A376" s="17"/>
      <c r="B376" s="355"/>
      <c r="C376" s="358"/>
      <c r="D376" s="53" t="s">
        <v>37</v>
      </c>
      <c r="E376" s="40">
        <v>0</v>
      </c>
      <c r="F376" s="286">
        <v>46163</v>
      </c>
      <c r="G376" s="40">
        <v>0</v>
      </c>
      <c r="H376" s="286">
        <v>46197</v>
      </c>
      <c r="I376" s="39">
        <v>1</v>
      </c>
      <c r="J376" s="39"/>
      <c r="K376" s="39">
        <v>15000</v>
      </c>
      <c r="L376" s="361"/>
      <c r="M376" s="36">
        <f t="shared" si="41"/>
        <v>15000</v>
      </c>
      <c r="N376" s="23">
        <v>0</v>
      </c>
      <c r="O376" s="38">
        <f>L376+M376-N376</f>
        <v>15000</v>
      </c>
    </row>
    <row r="377" spans="1:15" ht="60" customHeight="1" thickBot="1" x14ac:dyDescent="0.55000000000000004">
      <c r="A377" s="17"/>
      <c r="B377" s="355"/>
      <c r="C377" s="358"/>
      <c r="D377" s="59" t="s">
        <v>42</v>
      </c>
      <c r="E377" s="56"/>
      <c r="F377" s="286"/>
      <c r="G377" s="56"/>
      <c r="H377" s="286"/>
      <c r="I377" s="55">
        <v>0</v>
      </c>
      <c r="J377" s="55"/>
      <c r="K377" s="55">
        <v>0</v>
      </c>
      <c r="L377" s="361"/>
      <c r="M377" s="36">
        <f t="shared" si="41"/>
        <v>0</v>
      </c>
      <c r="N377" s="58"/>
      <c r="O377" s="38">
        <f>L377+M377-N377</f>
        <v>0</v>
      </c>
    </row>
    <row r="378" spans="1:15" ht="60" customHeight="1" thickBot="1" x14ac:dyDescent="0.55000000000000004">
      <c r="A378" s="17"/>
      <c r="B378" s="355"/>
      <c r="C378" s="358"/>
      <c r="D378" s="52" t="s">
        <v>85</v>
      </c>
      <c r="E378" s="35"/>
      <c r="F378" s="286"/>
      <c r="G378" s="35"/>
      <c r="H378" s="286"/>
      <c r="I378" s="55">
        <v>1</v>
      </c>
      <c r="J378" s="34"/>
      <c r="K378" s="34">
        <v>2000</v>
      </c>
      <c r="L378" s="361"/>
      <c r="M378" s="36">
        <f t="shared" si="41"/>
        <v>2000</v>
      </c>
      <c r="N378" s="37"/>
      <c r="O378" s="38">
        <f>L378+M378-N378</f>
        <v>2000</v>
      </c>
    </row>
    <row r="379" spans="1:15" ht="60" customHeight="1" thickBot="1" x14ac:dyDescent="0.55000000000000004">
      <c r="A379" s="17"/>
      <c r="B379" s="355"/>
      <c r="C379" s="358"/>
      <c r="D379" s="59" t="s">
        <v>14</v>
      </c>
      <c r="E379" s="56"/>
      <c r="F379" s="286"/>
      <c r="G379" s="56"/>
      <c r="H379" s="286"/>
      <c r="I379" s="55"/>
      <c r="J379" s="55"/>
      <c r="K379" s="55"/>
      <c r="L379" s="362"/>
      <c r="M379" s="36">
        <f t="shared" si="41"/>
        <v>0</v>
      </c>
      <c r="N379" s="58"/>
      <c r="O379" s="38">
        <f>L374</f>
        <v>668.11</v>
      </c>
    </row>
    <row r="380" spans="1:15" ht="60" customHeight="1" thickBot="1" x14ac:dyDescent="0.55000000000000004">
      <c r="A380" s="17"/>
      <c r="B380" s="356"/>
      <c r="C380" s="359"/>
      <c r="D380" s="41" t="s">
        <v>38</v>
      </c>
      <c r="E380" s="42"/>
      <c r="F380" s="286"/>
      <c r="G380" s="42"/>
      <c r="H380" s="286"/>
      <c r="I380" s="43"/>
      <c r="J380" s="43"/>
      <c r="K380" s="43"/>
      <c r="L380" s="44"/>
      <c r="M380" s="44"/>
      <c r="N380" s="45"/>
      <c r="O380" s="46">
        <f>SUM(O374:O379)</f>
        <v>24730.550000000017</v>
      </c>
    </row>
    <row r="381" spans="1:15" ht="60" customHeight="1" thickBot="1" x14ac:dyDescent="0.55000000000000004">
      <c r="A381" s="22"/>
      <c r="B381" s="276"/>
      <c r="C381" s="278"/>
      <c r="D381" s="60"/>
      <c r="E381" s="61"/>
      <c r="F381" s="286"/>
      <c r="G381" s="61"/>
      <c r="H381" s="286"/>
      <c r="I381" s="60"/>
      <c r="J381" s="60"/>
      <c r="K381" s="60"/>
      <c r="L381" s="62"/>
      <c r="M381" s="62"/>
      <c r="N381" s="63"/>
      <c r="O381" s="64"/>
    </row>
    <row r="382" spans="1:15" ht="60" customHeight="1" thickBot="1" x14ac:dyDescent="0.35">
      <c r="A382" s="8" t="s">
        <v>3</v>
      </c>
      <c r="B382" s="9" t="s">
        <v>0</v>
      </c>
      <c r="C382" s="11" t="s">
        <v>1</v>
      </c>
      <c r="D382" s="32" t="s">
        <v>34</v>
      </c>
      <c r="E382" s="11" t="s">
        <v>198</v>
      </c>
      <c r="F382" s="286" t="s">
        <v>199</v>
      </c>
      <c r="G382" s="11" t="s">
        <v>197</v>
      </c>
      <c r="H382" s="286" t="s">
        <v>184</v>
      </c>
      <c r="I382" s="10" t="s">
        <v>2</v>
      </c>
      <c r="J382" s="10" t="s">
        <v>39</v>
      </c>
      <c r="K382" s="11" t="s">
        <v>40</v>
      </c>
      <c r="L382" s="13" t="s">
        <v>14</v>
      </c>
      <c r="M382" s="14" t="s">
        <v>15</v>
      </c>
      <c r="N382" s="15" t="s">
        <v>11</v>
      </c>
      <c r="O382" s="16" t="s">
        <v>76</v>
      </c>
    </row>
    <row r="383" spans="1:15" ht="60" customHeight="1" thickBot="1" x14ac:dyDescent="0.55000000000000004">
      <c r="A383" s="17">
        <v>1</v>
      </c>
      <c r="B383" s="363" t="s">
        <v>61</v>
      </c>
      <c r="C383" s="357">
        <v>903</v>
      </c>
      <c r="D383" s="52" t="s">
        <v>35</v>
      </c>
      <c r="E383" s="262">
        <v>1009.3</v>
      </c>
      <c r="F383" s="286">
        <v>46163</v>
      </c>
      <c r="G383" s="262">
        <v>1013.62</v>
      </c>
      <c r="H383" s="286">
        <v>46197</v>
      </c>
      <c r="I383" s="34">
        <f>G383-E383</f>
        <v>4.32000000000005</v>
      </c>
      <c r="J383" s="34"/>
      <c r="K383" s="34">
        <v>257</v>
      </c>
      <c r="L383" s="360">
        <v>124469.19</v>
      </c>
      <c r="M383" s="36">
        <f t="shared" ref="M383:M388" si="42">I383*K383+J383</f>
        <v>1110.240000000013</v>
      </c>
      <c r="N383" s="37">
        <v>0</v>
      </c>
      <c r="O383" s="38">
        <f>M383-N383</f>
        <v>1110.240000000013</v>
      </c>
    </row>
    <row r="384" spans="1:15" ht="60" customHeight="1" thickBot="1" x14ac:dyDescent="0.55000000000000004">
      <c r="A384" s="17"/>
      <c r="B384" s="364"/>
      <c r="C384" s="358"/>
      <c r="D384" s="21" t="s">
        <v>36</v>
      </c>
      <c r="E384" s="261">
        <v>222</v>
      </c>
      <c r="F384" s="286">
        <v>46163</v>
      </c>
      <c r="G384" s="261">
        <v>222</v>
      </c>
      <c r="H384" s="286">
        <v>46197</v>
      </c>
      <c r="I384" s="34">
        <f>G384-E384</f>
        <v>0</v>
      </c>
      <c r="J384" s="34">
        <v>0</v>
      </c>
      <c r="K384" s="20">
        <v>1200</v>
      </c>
      <c r="L384" s="361"/>
      <c r="M384" s="36">
        <f t="shared" si="42"/>
        <v>0</v>
      </c>
      <c r="N384" s="19">
        <v>0</v>
      </c>
      <c r="O384" s="38">
        <f>L384+M384-N384</f>
        <v>0</v>
      </c>
    </row>
    <row r="385" spans="1:15" ht="60" customHeight="1" thickBot="1" x14ac:dyDescent="0.55000000000000004">
      <c r="A385" s="17"/>
      <c r="B385" s="364"/>
      <c r="C385" s="358"/>
      <c r="D385" s="53" t="s">
        <v>37</v>
      </c>
      <c r="E385" s="40">
        <v>0</v>
      </c>
      <c r="F385" s="286">
        <v>46163</v>
      </c>
      <c r="G385" s="40">
        <v>0</v>
      </c>
      <c r="H385" s="286">
        <v>46197</v>
      </c>
      <c r="I385" s="39">
        <v>1</v>
      </c>
      <c r="J385" s="39"/>
      <c r="K385" s="39">
        <v>15000</v>
      </c>
      <c r="L385" s="361"/>
      <c r="M385" s="36">
        <f t="shared" si="42"/>
        <v>15000</v>
      </c>
      <c r="N385" s="23">
        <v>0</v>
      </c>
      <c r="O385" s="38">
        <f>L385+M385-N385</f>
        <v>15000</v>
      </c>
    </row>
    <row r="386" spans="1:15" ht="60" customHeight="1" thickBot="1" x14ac:dyDescent="0.55000000000000004">
      <c r="A386" s="17"/>
      <c r="B386" s="364"/>
      <c r="C386" s="358"/>
      <c r="D386" s="59" t="s">
        <v>42</v>
      </c>
      <c r="E386" s="56"/>
      <c r="F386" s="286"/>
      <c r="G386" s="56"/>
      <c r="H386" s="286"/>
      <c r="I386" s="55">
        <v>0</v>
      </c>
      <c r="J386" s="55"/>
      <c r="K386" s="55">
        <v>0</v>
      </c>
      <c r="L386" s="361"/>
      <c r="M386" s="36">
        <f t="shared" si="42"/>
        <v>0</v>
      </c>
      <c r="N386" s="58"/>
      <c r="O386" s="38">
        <f>L386+M386-N386</f>
        <v>0</v>
      </c>
    </row>
    <row r="387" spans="1:15" ht="60" customHeight="1" thickBot="1" x14ac:dyDescent="0.55000000000000004">
      <c r="A387" s="17"/>
      <c r="B387" s="364"/>
      <c r="C387" s="358"/>
      <c r="D387" s="52" t="s">
        <v>85</v>
      </c>
      <c r="E387" s="35"/>
      <c r="F387" s="286"/>
      <c r="G387" s="35"/>
      <c r="H387" s="286"/>
      <c r="I387" s="55">
        <v>1</v>
      </c>
      <c r="J387" s="34"/>
      <c r="K387" s="34">
        <v>2000</v>
      </c>
      <c r="L387" s="361"/>
      <c r="M387" s="36">
        <f t="shared" si="42"/>
        <v>2000</v>
      </c>
      <c r="N387" s="37"/>
      <c r="O387" s="38">
        <f>L387+M387-N387</f>
        <v>2000</v>
      </c>
    </row>
    <row r="388" spans="1:15" ht="60" customHeight="1" thickBot="1" x14ac:dyDescent="0.55000000000000004">
      <c r="A388" s="17"/>
      <c r="B388" s="364"/>
      <c r="C388" s="358"/>
      <c r="D388" s="59" t="s">
        <v>14</v>
      </c>
      <c r="E388" s="56"/>
      <c r="F388" s="286"/>
      <c r="G388" s="56"/>
      <c r="H388" s="286"/>
      <c r="I388" s="55"/>
      <c r="J388" s="55"/>
      <c r="K388" s="55"/>
      <c r="L388" s="362"/>
      <c r="M388" s="36">
        <f t="shared" si="42"/>
        <v>0</v>
      </c>
      <c r="N388" s="58"/>
      <c r="O388" s="38">
        <f>L383</f>
        <v>124469.19</v>
      </c>
    </row>
    <row r="389" spans="1:15" ht="60" customHeight="1" thickBot="1" x14ac:dyDescent="0.55000000000000004">
      <c r="A389" s="17"/>
      <c r="B389" s="365"/>
      <c r="C389" s="359"/>
      <c r="D389" s="41" t="s">
        <v>38</v>
      </c>
      <c r="E389" s="42"/>
      <c r="F389" s="286"/>
      <c r="G389" s="42"/>
      <c r="H389" s="286"/>
      <c r="I389" s="43"/>
      <c r="J389" s="43"/>
      <c r="K389" s="43"/>
      <c r="L389" s="44"/>
      <c r="M389" s="44"/>
      <c r="N389" s="45"/>
      <c r="O389" s="46">
        <f>SUM(O383:O388)</f>
        <v>142579.43000000002</v>
      </c>
    </row>
    <row r="390" spans="1:15" ht="60" customHeight="1" thickBot="1" x14ac:dyDescent="0.55000000000000004">
      <c r="A390" s="22"/>
      <c r="B390" s="279"/>
      <c r="C390" s="278"/>
      <c r="D390" s="60"/>
      <c r="E390" s="61"/>
      <c r="F390" s="286"/>
      <c r="G390" s="61"/>
      <c r="H390" s="286"/>
      <c r="I390" s="60"/>
      <c r="J390" s="60"/>
      <c r="K390" s="60"/>
      <c r="L390" s="62"/>
      <c r="M390" s="62"/>
      <c r="N390" s="63"/>
      <c r="O390" s="64"/>
    </row>
    <row r="391" spans="1:15" ht="60" customHeight="1" thickBot="1" x14ac:dyDescent="0.35">
      <c r="A391" s="8" t="s">
        <v>3</v>
      </c>
      <c r="B391" s="9" t="s">
        <v>0</v>
      </c>
      <c r="C391" s="11" t="s">
        <v>1</v>
      </c>
      <c r="D391" s="32" t="s">
        <v>34</v>
      </c>
      <c r="E391" s="11" t="s">
        <v>198</v>
      </c>
      <c r="F391" s="286" t="s">
        <v>199</v>
      </c>
      <c r="G391" s="11" t="s">
        <v>197</v>
      </c>
      <c r="H391" s="286" t="s">
        <v>184</v>
      </c>
      <c r="I391" s="10" t="s">
        <v>2</v>
      </c>
      <c r="J391" s="10" t="s">
        <v>39</v>
      </c>
      <c r="K391" s="11" t="s">
        <v>40</v>
      </c>
      <c r="L391" s="13" t="s">
        <v>14</v>
      </c>
      <c r="M391" s="14" t="s">
        <v>15</v>
      </c>
      <c r="N391" s="15" t="s">
        <v>11</v>
      </c>
      <c r="O391" s="16" t="s">
        <v>76</v>
      </c>
    </row>
    <row r="392" spans="1:15" ht="60" customHeight="1" thickBot="1" x14ac:dyDescent="0.55000000000000004">
      <c r="A392" s="17">
        <v>1</v>
      </c>
      <c r="B392" s="363" t="s">
        <v>61</v>
      </c>
      <c r="C392" s="357">
        <v>904</v>
      </c>
      <c r="D392" s="52" t="s">
        <v>35</v>
      </c>
      <c r="E392" s="262">
        <v>1953.12</v>
      </c>
      <c r="F392" s="286">
        <v>46163</v>
      </c>
      <c r="G392" s="262">
        <v>2005.17</v>
      </c>
      <c r="H392" s="286">
        <v>46197</v>
      </c>
      <c r="I392" s="34">
        <f>G392-E392</f>
        <v>52.050000000000182</v>
      </c>
      <c r="J392" s="34"/>
      <c r="K392" s="34">
        <v>257</v>
      </c>
      <c r="L392" s="360">
        <v>23010.26</v>
      </c>
      <c r="M392" s="36">
        <f t="shared" ref="M392:M397" si="43">I392*K392+J392</f>
        <v>13376.850000000046</v>
      </c>
      <c r="N392" s="37">
        <v>0</v>
      </c>
      <c r="O392" s="38">
        <f>M392-N392</f>
        <v>13376.850000000046</v>
      </c>
    </row>
    <row r="393" spans="1:15" ht="60" customHeight="1" thickBot="1" x14ac:dyDescent="0.55000000000000004">
      <c r="A393" s="17"/>
      <c r="B393" s="364"/>
      <c r="C393" s="358"/>
      <c r="D393" s="21" t="s">
        <v>36</v>
      </c>
      <c r="E393" s="261">
        <v>284</v>
      </c>
      <c r="F393" s="286">
        <v>46163</v>
      </c>
      <c r="G393" s="261">
        <v>291</v>
      </c>
      <c r="H393" s="286">
        <v>46197</v>
      </c>
      <c r="I393" s="34">
        <f>G393-E393</f>
        <v>7</v>
      </c>
      <c r="J393" s="34">
        <v>1000</v>
      </c>
      <c r="K393" s="20">
        <v>1200</v>
      </c>
      <c r="L393" s="361"/>
      <c r="M393" s="36">
        <f t="shared" si="43"/>
        <v>9400</v>
      </c>
      <c r="N393" s="19">
        <v>0</v>
      </c>
      <c r="O393" s="38">
        <f>L393+M393-N393</f>
        <v>9400</v>
      </c>
    </row>
    <row r="394" spans="1:15" ht="60" customHeight="1" thickBot="1" x14ac:dyDescent="0.55000000000000004">
      <c r="A394" s="17"/>
      <c r="B394" s="364"/>
      <c r="C394" s="358"/>
      <c r="D394" s="53" t="s">
        <v>37</v>
      </c>
      <c r="E394" s="40">
        <v>0</v>
      </c>
      <c r="F394" s="286">
        <v>46163</v>
      </c>
      <c r="G394" s="40">
        <v>0</v>
      </c>
      <c r="H394" s="286">
        <v>46197</v>
      </c>
      <c r="I394" s="39">
        <v>1</v>
      </c>
      <c r="J394" s="39"/>
      <c r="K394" s="39">
        <v>25000</v>
      </c>
      <c r="L394" s="361"/>
      <c r="M394" s="36">
        <f t="shared" si="43"/>
        <v>25000</v>
      </c>
      <c r="N394" s="23">
        <v>0</v>
      </c>
      <c r="O394" s="38">
        <f>L394+M394-N394</f>
        <v>25000</v>
      </c>
    </row>
    <row r="395" spans="1:15" ht="37.5" customHeight="1" thickBot="1" x14ac:dyDescent="0.55000000000000004">
      <c r="A395" s="17"/>
      <c r="B395" s="364"/>
      <c r="C395" s="358"/>
      <c r="D395" s="59" t="s">
        <v>42</v>
      </c>
      <c r="E395" s="56"/>
      <c r="F395" s="286"/>
      <c r="G395" s="56"/>
      <c r="H395" s="286"/>
      <c r="I395" s="55"/>
      <c r="J395" s="55"/>
      <c r="K395" s="55">
        <v>0</v>
      </c>
      <c r="L395" s="361"/>
      <c r="M395" s="36">
        <f t="shared" si="43"/>
        <v>0</v>
      </c>
      <c r="N395" s="58"/>
      <c r="O395" s="38">
        <f>L395+M395-N395</f>
        <v>0</v>
      </c>
    </row>
    <row r="396" spans="1:15" ht="40.5" customHeight="1" thickBot="1" x14ac:dyDescent="0.55000000000000004">
      <c r="A396" s="17"/>
      <c r="B396" s="364"/>
      <c r="C396" s="358"/>
      <c r="D396" s="52" t="s">
        <v>85</v>
      </c>
      <c r="E396" s="35"/>
      <c r="F396" s="286"/>
      <c r="G396" s="35"/>
      <c r="H396" s="286"/>
      <c r="I396" s="55">
        <v>1</v>
      </c>
      <c r="J396" s="34"/>
      <c r="K396" s="34">
        <v>2000</v>
      </c>
      <c r="L396" s="361"/>
      <c r="M396" s="36">
        <f t="shared" si="43"/>
        <v>2000</v>
      </c>
      <c r="N396" s="37"/>
      <c r="O396" s="38">
        <f>L396+M396-N396</f>
        <v>2000</v>
      </c>
    </row>
    <row r="397" spans="1:15" ht="32.25" customHeight="1" thickBot="1" x14ac:dyDescent="0.55000000000000004">
      <c r="A397" s="17"/>
      <c r="B397" s="364"/>
      <c r="C397" s="358"/>
      <c r="D397" s="59" t="s">
        <v>14</v>
      </c>
      <c r="E397" s="56"/>
      <c r="F397" s="286"/>
      <c r="G397" s="56"/>
      <c r="H397" s="286"/>
      <c r="I397" s="55"/>
      <c r="J397" s="55"/>
      <c r="K397" s="55"/>
      <c r="L397" s="362"/>
      <c r="M397" s="36">
        <f t="shared" si="43"/>
        <v>0</v>
      </c>
      <c r="N397" s="58"/>
      <c r="O397" s="38">
        <f>L392</f>
        <v>23010.26</v>
      </c>
    </row>
    <row r="398" spans="1:15" ht="60" customHeight="1" thickBot="1" x14ac:dyDescent="0.55000000000000004">
      <c r="A398" s="17"/>
      <c r="B398" s="365"/>
      <c r="C398" s="359"/>
      <c r="D398" s="41" t="s">
        <v>38</v>
      </c>
      <c r="E398" s="42"/>
      <c r="F398" s="286"/>
      <c r="G398" s="42"/>
      <c r="H398" s="286"/>
      <c r="I398" s="43"/>
      <c r="J398" s="43"/>
      <c r="K398" s="43"/>
      <c r="L398" s="44"/>
      <c r="M398" s="44"/>
      <c r="N398" s="45"/>
      <c r="O398" s="46">
        <f>SUM(O392:O397)</f>
        <v>72787.110000000044</v>
      </c>
    </row>
    <row r="399" spans="1:15" ht="60" customHeight="1" thickBot="1" x14ac:dyDescent="0.55000000000000004">
      <c r="A399" s="22"/>
      <c r="B399" s="279"/>
      <c r="C399" s="278"/>
      <c r="D399" s="60"/>
      <c r="E399" s="61"/>
      <c r="F399" s="286"/>
      <c r="G399" s="61"/>
      <c r="H399" s="286"/>
      <c r="I399" s="60"/>
      <c r="J399" s="60"/>
      <c r="K399" s="60"/>
      <c r="L399" s="62"/>
      <c r="M399" s="62"/>
      <c r="N399" s="63"/>
      <c r="O399" s="64"/>
    </row>
    <row r="400" spans="1:15" ht="60" customHeight="1" thickBot="1" x14ac:dyDescent="0.35">
      <c r="A400" s="8" t="s">
        <v>3</v>
      </c>
      <c r="B400" s="9" t="s">
        <v>0</v>
      </c>
      <c r="C400" s="11" t="s">
        <v>1</v>
      </c>
      <c r="D400" s="32" t="s">
        <v>34</v>
      </c>
      <c r="E400" s="11" t="s">
        <v>198</v>
      </c>
      <c r="F400" s="286" t="s">
        <v>199</v>
      </c>
      <c r="G400" s="11" t="s">
        <v>197</v>
      </c>
      <c r="H400" s="286" t="s">
        <v>184</v>
      </c>
      <c r="I400" s="10" t="s">
        <v>2</v>
      </c>
      <c r="J400" s="10" t="s">
        <v>39</v>
      </c>
      <c r="K400" s="11" t="s">
        <v>40</v>
      </c>
      <c r="L400" s="13" t="s">
        <v>14</v>
      </c>
      <c r="M400" s="14" t="s">
        <v>15</v>
      </c>
      <c r="N400" s="15" t="s">
        <v>11</v>
      </c>
      <c r="O400" s="16" t="s">
        <v>76</v>
      </c>
    </row>
    <row r="401" spans="1:15" ht="60" customHeight="1" thickBot="1" x14ac:dyDescent="0.55000000000000004">
      <c r="A401" s="17">
        <v>1</v>
      </c>
      <c r="B401" s="354" t="s">
        <v>28</v>
      </c>
      <c r="C401" s="357">
        <v>905</v>
      </c>
      <c r="D401" s="52" t="s">
        <v>35</v>
      </c>
      <c r="E401" s="262">
        <v>4537.95</v>
      </c>
      <c r="F401" s="286">
        <v>46163</v>
      </c>
      <c r="G401" s="262">
        <v>4584.37</v>
      </c>
      <c r="H401" s="286">
        <v>46197</v>
      </c>
      <c r="I401" s="34">
        <f>G401-E401</f>
        <v>46.420000000000073</v>
      </c>
      <c r="J401" s="34"/>
      <c r="K401" s="34">
        <v>257</v>
      </c>
      <c r="L401" s="360">
        <v>-19968.59</v>
      </c>
      <c r="M401" s="36">
        <f t="shared" ref="M401:M406" si="44">I401*K401+J401</f>
        <v>11929.940000000019</v>
      </c>
      <c r="N401" s="37">
        <v>0</v>
      </c>
      <c r="O401" s="38">
        <f>M401-N401</f>
        <v>11929.940000000019</v>
      </c>
    </row>
    <row r="402" spans="1:15" ht="60" customHeight="1" thickBot="1" x14ac:dyDescent="0.55000000000000004">
      <c r="A402" s="17"/>
      <c r="B402" s="355"/>
      <c r="C402" s="358"/>
      <c r="D402" s="21" t="s">
        <v>36</v>
      </c>
      <c r="E402" s="261">
        <v>810</v>
      </c>
      <c r="F402" s="286">
        <v>46163</v>
      </c>
      <c r="G402" s="261">
        <v>820</v>
      </c>
      <c r="H402" s="286">
        <v>46197</v>
      </c>
      <c r="I402" s="34">
        <f>G402-E402</f>
        <v>10</v>
      </c>
      <c r="J402" s="34">
        <v>1000</v>
      </c>
      <c r="K402" s="20">
        <v>1200</v>
      </c>
      <c r="L402" s="361"/>
      <c r="M402" s="36">
        <f t="shared" si="44"/>
        <v>13000</v>
      </c>
      <c r="N402" s="19">
        <v>0</v>
      </c>
      <c r="O402" s="38">
        <f>L402+M402-N402</f>
        <v>13000</v>
      </c>
    </row>
    <row r="403" spans="1:15" ht="60" customHeight="1" thickBot="1" x14ac:dyDescent="0.55000000000000004">
      <c r="A403" s="17"/>
      <c r="B403" s="355"/>
      <c r="C403" s="358"/>
      <c r="D403" s="53" t="s">
        <v>37</v>
      </c>
      <c r="E403" s="40">
        <v>0</v>
      </c>
      <c r="F403" s="286">
        <v>46163</v>
      </c>
      <c r="G403" s="40">
        <v>0</v>
      </c>
      <c r="H403" s="286">
        <v>46197</v>
      </c>
      <c r="I403" s="39">
        <v>1</v>
      </c>
      <c r="J403" s="39"/>
      <c r="K403" s="39">
        <v>25000</v>
      </c>
      <c r="L403" s="361"/>
      <c r="M403" s="36">
        <f t="shared" si="44"/>
        <v>25000</v>
      </c>
      <c r="N403" s="23">
        <v>0</v>
      </c>
      <c r="O403" s="38">
        <f>L403+M403-N403</f>
        <v>25000</v>
      </c>
    </row>
    <row r="404" spans="1:15" ht="60" customHeight="1" thickBot="1" x14ac:dyDescent="0.55000000000000004">
      <c r="A404" s="17"/>
      <c r="B404" s="355"/>
      <c r="C404" s="358"/>
      <c r="D404" s="59" t="s">
        <v>42</v>
      </c>
      <c r="E404" s="56"/>
      <c r="F404" s="286"/>
      <c r="G404" s="56"/>
      <c r="H404" s="286"/>
      <c r="I404" s="55">
        <v>0</v>
      </c>
      <c r="J404" s="55"/>
      <c r="K404" s="55">
        <v>0</v>
      </c>
      <c r="L404" s="315"/>
      <c r="M404" s="36">
        <f t="shared" si="44"/>
        <v>0</v>
      </c>
      <c r="N404" s="58"/>
      <c r="O404" s="38">
        <f>L404+M404-N404</f>
        <v>0</v>
      </c>
    </row>
    <row r="405" spans="1:15" ht="60" customHeight="1" thickBot="1" x14ac:dyDescent="0.55000000000000004">
      <c r="A405" s="17"/>
      <c r="B405" s="355"/>
      <c r="C405" s="358"/>
      <c r="D405" s="52" t="s">
        <v>85</v>
      </c>
      <c r="E405" s="35"/>
      <c r="F405" s="286"/>
      <c r="G405" s="35"/>
      <c r="H405" s="286"/>
      <c r="I405" s="55">
        <v>1</v>
      </c>
      <c r="J405" s="34"/>
      <c r="K405" s="34">
        <v>2000</v>
      </c>
      <c r="L405" s="315"/>
      <c r="M405" s="36">
        <f t="shared" si="44"/>
        <v>2000</v>
      </c>
      <c r="N405" s="37"/>
      <c r="O405" s="38">
        <f>L405+M405-N405</f>
        <v>2000</v>
      </c>
    </row>
    <row r="406" spans="1:15" ht="60" customHeight="1" thickBot="1" x14ac:dyDescent="0.55000000000000004">
      <c r="A406" s="17"/>
      <c r="B406" s="355"/>
      <c r="C406" s="358"/>
      <c r="D406" s="59" t="s">
        <v>14</v>
      </c>
      <c r="E406" s="56"/>
      <c r="F406" s="286"/>
      <c r="G406" s="56"/>
      <c r="H406" s="286"/>
      <c r="I406" s="55"/>
      <c r="J406" s="55"/>
      <c r="K406" s="55"/>
      <c r="L406" s="316"/>
      <c r="M406" s="36">
        <f t="shared" si="44"/>
        <v>0</v>
      </c>
      <c r="N406" s="58"/>
      <c r="O406" s="38">
        <f>L401</f>
        <v>-19968.59</v>
      </c>
    </row>
    <row r="407" spans="1:15" ht="60" customHeight="1" thickBot="1" x14ac:dyDescent="0.55000000000000004">
      <c r="A407" s="17"/>
      <c r="B407" s="356"/>
      <c r="C407" s="359"/>
      <c r="D407" s="41" t="s">
        <v>38</v>
      </c>
      <c r="E407" s="42"/>
      <c r="F407" s="286"/>
      <c r="G407" s="42"/>
      <c r="H407" s="286"/>
      <c r="I407" s="43"/>
      <c r="J407" s="43"/>
      <c r="K407" s="43"/>
      <c r="L407" s="44"/>
      <c r="M407" s="44"/>
      <c r="N407" s="45"/>
      <c r="O407" s="46">
        <f>SUM(O401:O406)</f>
        <v>31961.350000000017</v>
      </c>
    </row>
    <row r="408" spans="1:15" ht="60" customHeight="1" thickBot="1" x14ac:dyDescent="0.55000000000000004">
      <c r="A408" s="22"/>
      <c r="B408" s="276"/>
      <c r="C408" s="278"/>
      <c r="D408" s="60"/>
      <c r="E408" s="61"/>
      <c r="F408" s="286"/>
      <c r="G408" s="61"/>
      <c r="H408" s="286"/>
      <c r="I408" s="60"/>
      <c r="J408" s="60"/>
      <c r="K408" s="60"/>
      <c r="L408" s="62"/>
      <c r="M408" s="62"/>
      <c r="N408" s="63"/>
      <c r="O408" s="64"/>
    </row>
    <row r="409" spans="1:15" ht="60" customHeight="1" thickBot="1" x14ac:dyDescent="0.35">
      <c r="A409" s="8" t="s">
        <v>3</v>
      </c>
      <c r="B409" s="9" t="s">
        <v>0</v>
      </c>
      <c r="C409" s="11" t="s">
        <v>1</v>
      </c>
      <c r="D409" s="32" t="s">
        <v>34</v>
      </c>
      <c r="E409" s="11" t="s">
        <v>198</v>
      </c>
      <c r="F409" s="286" t="s">
        <v>199</v>
      </c>
      <c r="G409" s="11" t="s">
        <v>197</v>
      </c>
      <c r="H409" s="286" t="s">
        <v>184</v>
      </c>
      <c r="I409" s="10" t="s">
        <v>2</v>
      </c>
      <c r="J409" s="10" t="s">
        <v>39</v>
      </c>
      <c r="K409" s="11" t="s">
        <v>40</v>
      </c>
      <c r="L409" s="13" t="s">
        <v>14</v>
      </c>
      <c r="M409" s="14" t="s">
        <v>15</v>
      </c>
      <c r="N409" s="15" t="s">
        <v>11</v>
      </c>
      <c r="O409" s="16" t="s">
        <v>76</v>
      </c>
    </row>
    <row r="410" spans="1:15" ht="60" customHeight="1" thickBot="1" x14ac:dyDescent="0.55000000000000004">
      <c r="A410" s="17">
        <v>1</v>
      </c>
      <c r="B410" s="363" t="s">
        <v>62</v>
      </c>
      <c r="C410" s="357">
        <v>1001</v>
      </c>
      <c r="D410" s="52" t="s">
        <v>35</v>
      </c>
      <c r="E410" s="262">
        <v>1629.85</v>
      </c>
      <c r="F410" s="286">
        <v>46163</v>
      </c>
      <c r="G410" s="262">
        <v>1630.74</v>
      </c>
      <c r="H410" s="286">
        <v>46197</v>
      </c>
      <c r="I410" s="34">
        <f>G410-E410</f>
        <v>0.89000000000010004</v>
      </c>
      <c r="J410" s="34"/>
      <c r="K410" s="34">
        <v>257</v>
      </c>
      <c r="L410" s="360">
        <v>1333.63</v>
      </c>
      <c r="M410" s="36">
        <f t="shared" ref="M410:M415" si="45">I410*K410+J410</f>
        <v>228.73000000002571</v>
      </c>
      <c r="N410" s="37">
        <v>0</v>
      </c>
      <c r="O410" s="38">
        <f>M410-N410</f>
        <v>228.73000000002571</v>
      </c>
    </row>
    <row r="411" spans="1:15" ht="60" customHeight="1" thickBot="1" x14ac:dyDescent="0.55000000000000004">
      <c r="A411" s="17"/>
      <c r="B411" s="364"/>
      <c r="C411" s="358"/>
      <c r="D411" s="21" t="s">
        <v>36</v>
      </c>
      <c r="E411" s="261">
        <v>347</v>
      </c>
      <c r="F411" s="286">
        <v>46163</v>
      </c>
      <c r="G411" s="261">
        <v>348</v>
      </c>
      <c r="H411" s="286">
        <v>46197</v>
      </c>
      <c r="I411" s="34">
        <f>G411-E411</f>
        <v>1</v>
      </c>
      <c r="J411" s="34">
        <v>1000</v>
      </c>
      <c r="K411" s="20">
        <v>1200</v>
      </c>
      <c r="L411" s="361"/>
      <c r="M411" s="36">
        <f t="shared" si="45"/>
        <v>2200</v>
      </c>
      <c r="N411" s="19">
        <v>0</v>
      </c>
      <c r="O411" s="38">
        <f>L411+M411-N411</f>
        <v>2200</v>
      </c>
    </row>
    <row r="412" spans="1:15" ht="60" customHeight="1" thickBot="1" x14ac:dyDescent="0.55000000000000004">
      <c r="A412" s="17"/>
      <c r="B412" s="364"/>
      <c r="C412" s="358"/>
      <c r="D412" s="53" t="s">
        <v>37</v>
      </c>
      <c r="E412" s="40">
        <v>0</v>
      </c>
      <c r="F412" s="286">
        <v>46163</v>
      </c>
      <c r="G412" s="40">
        <v>0</v>
      </c>
      <c r="H412" s="286">
        <v>46197</v>
      </c>
      <c r="I412" s="39">
        <v>1</v>
      </c>
      <c r="J412" s="39"/>
      <c r="K412" s="39">
        <v>15000</v>
      </c>
      <c r="L412" s="361"/>
      <c r="M412" s="36">
        <f t="shared" si="45"/>
        <v>15000</v>
      </c>
      <c r="N412" s="23">
        <v>0</v>
      </c>
      <c r="O412" s="38">
        <f>L412+M412-N412</f>
        <v>15000</v>
      </c>
    </row>
    <row r="413" spans="1:15" ht="60" customHeight="1" thickBot="1" x14ac:dyDescent="0.55000000000000004">
      <c r="A413" s="17"/>
      <c r="B413" s="364"/>
      <c r="C413" s="358"/>
      <c r="D413" s="59" t="s">
        <v>42</v>
      </c>
      <c r="E413" s="56"/>
      <c r="F413" s="286"/>
      <c r="G413" s="56"/>
      <c r="H413" s="286"/>
      <c r="I413" s="55">
        <v>0</v>
      </c>
      <c r="J413" s="55"/>
      <c r="K413" s="55">
        <v>0</v>
      </c>
      <c r="L413" s="361"/>
      <c r="M413" s="36">
        <f t="shared" si="45"/>
        <v>0</v>
      </c>
      <c r="N413" s="58"/>
      <c r="O413" s="38">
        <f>L413+M413-N413</f>
        <v>0</v>
      </c>
    </row>
    <row r="414" spans="1:15" ht="60" customHeight="1" thickBot="1" x14ac:dyDescent="0.55000000000000004">
      <c r="A414" s="17"/>
      <c r="B414" s="364"/>
      <c r="C414" s="358"/>
      <c r="D414" s="52" t="s">
        <v>85</v>
      </c>
      <c r="E414" s="35"/>
      <c r="F414" s="286"/>
      <c r="G414" s="35"/>
      <c r="H414" s="286"/>
      <c r="I414" s="55">
        <v>2000</v>
      </c>
      <c r="J414" s="34"/>
      <c r="K414" s="34">
        <v>2000</v>
      </c>
      <c r="L414" s="361"/>
      <c r="M414" s="36">
        <f t="shared" si="45"/>
        <v>4000000</v>
      </c>
      <c r="N414" s="37"/>
      <c r="O414" s="38">
        <f>L414+M414-N414</f>
        <v>4000000</v>
      </c>
    </row>
    <row r="415" spans="1:15" ht="60" customHeight="1" thickBot="1" x14ac:dyDescent="0.55000000000000004">
      <c r="A415" s="17"/>
      <c r="B415" s="364"/>
      <c r="C415" s="358"/>
      <c r="D415" s="59" t="s">
        <v>14</v>
      </c>
      <c r="E415" s="56"/>
      <c r="F415" s="286"/>
      <c r="G415" s="56"/>
      <c r="H415" s="286"/>
      <c r="I415" s="55"/>
      <c r="J415" s="55"/>
      <c r="K415" s="55"/>
      <c r="L415" s="362"/>
      <c r="M415" s="36">
        <f t="shared" si="45"/>
        <v>0</v>
      </c>
      <c r="N415" s="58"/>
      <c r="O415" s="38">
        <f>L410</f>
        <v>1333.63</v>
      </c>
    </row>
    <row r="416" spans="1:15" ht="60" customHeight="1" thickBot="1" x14ac:dyDescent="0.55000000000000004">
      <c r="A416" s="17"/>
      <c r="B416" s="365"/>
      <c r="C416" s="359"/>
      <c r="D416" s="41" t="s">
        <v>38</v>
      </c>
      <c r="E416" s="42"/>
      <c r="F416" s="286"/>
      <c r="G416" s="42"/>
      <c r="H416" s="286"/>
      <c r="I416" s="43"/>
      <c r="J416" s="43"/>
      <c r="K416" s="43"/>
      <c r="L416" s="44"/>
      <c r="M416" s="44"/>
      <c r="N416" s="45"/>
      <c r="O416" s="46">
        <f>SUM(O410:O415)</f>
        <v>4018762.36</v>
      </c>
    </row>
    <row r="417" spans="1:15" ht="60" customHeight="1" thickBot="1" x14ac:dyDescent="0.55000000000000004">
      <c r="A417" s="22"/>
      <c r="B417" s="279"/>
      <c r="C417" s="278"/>
      <c r="D417" s="60"/>
      <c r="E417" s="61"/>
      <c r="F417" s="286"/>
      <c r="G417" s="61"/>
      <c r="H417" s="286"/>
      <c r="I417" s="60"/>
      <c r="J417" s="60"/>
      <c r="K417" s="60"/>
      <c r="L417" s="62"/>
      <c r="M417" s="62"/>
      <c r="N417" s="63"/>
      <c r="O417" s="64"/>
    </row>
    <row r="418" spans="1:15" ht="60" customHeight="1" thickBot="1" x14ac:dyDescent="0.35">
      <c r="A418" s="8" t="s">
        <v>3</v>
      </c>
      <c r="B418" s="9" t="s">
        <v>0</v>
      </c>
      <c r="C418" s="11" t="s">
        <v>1</v>
      </c>
      <c r="D418" s="32" t="s">
        <v>34</v>
      </c>
      <c r="E418" s="11" t="s">
        <v>198</v>
      </c>
      <c r="F418" s="286" t="s">
        <v>199</v>
      </c>
      <c r="G418" s="11" t="s">
        <v>197</v>
      </c>
      <c r="H418" s="286" t="s">
        <v>184</v>
      </c>
      <c r="I418" s="10" t="s">
        <v>2</v>
      </c>
      <c r="J418" s="10" t="s">
        <v>39</v>
      </c>
      <c r="K418" s="11" t="s">
        <v>40</v>
      </c>
      <c r="L418" s="13" t="s">
        <v>14</v>
      </c>
      <c r="M418" s="14" t="s">
        <v>15</v>
      </c>
      <c r="N418" s="15" t="s">
        <v>11</v>
      </c>
      <c r="O418" s="16" t="s">
        <v>76</v>
      </c>
    </row>
    <row r="419" spans="1:15" ht="60" customHeight="1" thickBot="1" x14ac:dyDescent="0.55000000000000004">
      <c r="A419" s="17">
        <v>1</v>
      </c>
      <c r="B419" s="363" t="s">
        <v>8</v>
      </c>
      <c r="C419" s="357">
        <v>1002</v>
      </c>
      <c r="D419" s="52" t="s">
        <v>35</v>
      </c>
      <c r="E419" s="262">
        <v>4726.87</v>
      </c>
      <c r="F419" s="286">
        <v>46163</v>
      </c>
      <c r="G419" s="262">
        <v>4728.3100000000004</v>
      </c>
      <c r="H419" s="286">
        <v>46197</v>
      </c>
      <c r="I419" s="34">
        <f>G419-E419</f>
        <v>1.4400000000005093</v>
      </c>
      <c r="J419" s="34"/>
      <c r="K419" s="34">
        <v>257</v>
      </c>
      <c r="L419" s="360">
        <v>17056.07</v>
      </c>
      <c r="M419" s="36">
        <f t="shared" ref="M419:M424" si="46">I419*K419+J419</f>
        <v>370.08000000013089</v>
      </c>
      <c r="N419" s="37">
        <v>0</v>
      </c>
      <c r="O419" s="38">
        <f>M419-N419</f>
        <v>370.08000000013089</v>
      </c>
    </row>
    <row r="420" spans="1:15" ht="60" customHeight="1" thickBot="1" x14ac:dyDescent="0.55000000000000004">
      <c r="A420" s="17"/>
      <c r="B420" s="364"/>
      <c r="C420" s="358"/>
      <c r="D420" s="21" t="s">
        <v>36</v>
      </c>
      <c r="E420" s="261">
        <v>496</v>
      </c>
      <c r="F420" s="286">
        <v>46163</v>
      </c>
      <c r="G420" s="261">
        <v>504</v>
      </c>
      <c r="H420" s="286">
        <v>46197</v>
      </c>
      <c r="I420" s="34">
        <f>G420-E420</f>
        <v>8</v>
      </c>
      <c r="J420" s="34">
        <v>1000</v>
      </c>
      <c r="K420" s="20">
        <v>1200</v>
      </c>
      <c r="L420" s="361"/>
      <c r="M420" s="36">
        <f t="shared" si="46"/>
        <v>10600</v>
      </c>
      <c r="N420" s="19">
        <v>0</v>
      </c>
      <c r="O420" s="38">
        <f>L420+M420-N420</f>
        <v>10600</v>
      </c>
    </row>
    <row r="421" spans="1:15" ht="48" customHeight="1" thickBot="1" x14ac:dyDescent="0.55000000000000004">
      <c r="A421" s="17"/>
      <c r="B421" s="364"/>
      <c r="C421" s="358"/>
      <c r="D421" s="53" t="s">
        <v>37</v>
      </c>
      <c r="E421" s="40">
        <v>0</v>
      </c>
      <c r="F421" s="286">
        <v>46163</v>
      </c>
      <c r="G421" s="40">
        <v>0</v>
      </c>
      <c r="H421" s="286">
        <v>46197</v>
      </c>
      <c r="I421" s="39">
        <v>1</v>
      </c>
      <c r="J421" s="39"/>
      <c r="K421" s="39">
        <v>25000</v>
      </c>
      <c r="L421" s="361"/>
      <c r="M421" s="36">
        <f t="shared" si="46"/>
        <v>25000</v>
      </c>
      <c r="N421" s="23">
        <v>0</v>
      </c>
      <c r="O421" s="38">
        <f>L421+M421-N421</f>
        <v>25000</v>
      </c>
    </row>
    <row r="422" spans="1:15" ht="37.5" customHeight="1" thickBot="1" x14ac:dyDescent="0.55000000000000004">
      <c r="A422" s="17"/>
      <c r="B422" s="364"/>
      <c r="C422" s="358"/>
      <c r="D422" s="59" t="s">
        <v>42</v>
      </c>
      <c r="E422" s="56"/>
      <c r="F422" s="286"/>
      <c r="G422" s="56"/>
      <c r="H422" s="286"/>
      <c r="I422" s="55">
        <v>0</v>
      </c>
      <c r="J422" s="55"/>
      <c r="K422" s="55">
        <v>0</v>
      </c>
      <c r="L422" s="361"/>
      <c r="M422" s="36">
        <f t="shared" si="46"/>
        <v>0</v>
      </c>
      <c r="N422" s="58"/>
      <c r="O422" s="38">
        <f>L422+M422-N422</f>
        <v>0</v>
      </c>
    </row>
    <row r="423" spans="1:15" ht="42.75" customHeight="1" thickBot="1" x14ac:dyDescent="0.55000000000000004">
      <c r="A423" s="17"/>
      <c r="B423" s="364"/>
      <c r="C423" s="358"/>
      <c r="D423" s="52" t="s">
        <v>85</v>
      </c>
      <c r="E423" s="35"/>
      <c r="F423" s="286"/>
      <c r="G423" s="35"/>
      <c r="H423" s="286"/>
      <c r="I423" s="55">
        <v>1</v>
      </c>
      <c r="J423" s="34"/>
      <c r="K423" s="34">
        <v>2000</v>
      </c>
      <c r="L423" s="361"/>
      <c r="M423" s="36">
        <f t="shared" si="46"/>
        <v>2000</v>
      </c>
      <c r="N423" s="37"/>
      <c r="O423" s="38">
        <f>L423+M423-N423</f>
        <v>2000</v>
      </c>
    </row>
    <row r="424" spans="1:15" ht="39" customHeight="1" thickBot="1" x14ac:dyDescent="0.55000000000000004">
      <c r="A424" s="17"/>
      <c r="B424" s="364"/>
      <c r="C424" s="358"/>
      <c r="D424" s="59" t="s">
        <v>14</v>
      </c>
      <c r="E424" s="56"/>
      <c r="F424" s="286"/>
      <c r="G424" s="56"/>
      <c r="H424" s="286"/>
      <c r="I424" s="55"/>
      <c r="J424" s="55"/>
      <c r="K424" s="55"/>
      <c r="L424" s="362"/>
      <c r="M424" s="36">
        <f t="shared" si="46"/>
        <v>0</v>
      </c>
      <c r="N424" s="58"/>
      <c r="O424" s="38">
        <f>L419</f>
        <v>17056.07</v>
      </c>
    </row>
    <row r="425" spans="1:15" ht="60" customHeight="1" thickBot="1" x14ac:dyDescent="0.55000000000000004">
      <c r="A425" s="17"/>
      <c r="B425" s="365"/>
      <c r="C425" s="359"/>
      <c r="D425" s="41" t="s">
        <v>38</v>
      </c>
      <c r="E425" s="42"/>
      <c r="F425" s="286"/>
      <c r="G425" s="42"/>
      <c r="H425" s="286"/>
      <c r="I425" s="43"/>
      <c r="J425" s="43"/>
      <c r="K425" s="43"/>
      <c r="L425" s="44"/>
      <c r="M425" s="44"/>
      <c r="N425" s="45"/>
      <c r="O425" s="46">
        <f>SUM(O419:O424)</f>
        <v>55026.150000000132</v>
      </c>
    </row>
    <row r="426" spans="1:15" ht="60" customHeight="1" thickBot="1" x14ac:dyDescent="0.55000000000000004">
      <c r="A426" s="22"/>
      <c r="B426" s="279"/>
      <c r="C426" s="278"/>
      <c r="D426" s="60"/>
      <c r="E426" s="61"/>
      <c r="F426" s="286"/>
      <c r="G426" s="61"/>
      <c r="H426" s="286"/>
      <c r="I426" s="60"/>
      <c r="J426" s="60"/>
      <c r="K426" s="60"/>
      <c r="L426" s="62"/>
      <c r="M426" s="62"/>
      <c r="N426" s="63"/>
      <c r="O426" s="64"/>
    </row>
    <row r="427" spans="1:15" ht="60" customHeight="1" thickBot="1" x14ac:dyDescent="0.35">
      <c r="A427" s="8" t="s">
        <v>3</v>
      </c>
      <c r="B427" s="9" t="s">
        <v>0</v>
      </c>
      <c r="C427" s="11" t="s">
        <v>1</v>
      </c>
      <c r="D427" s="32" t="s">
        <v>34</v>
      </c>
      <c r="E427" s="11" t="s">
        <v>198</v>
      </c>
      <c r="F427" s="286" t="s">
        <v>199</v>
      </c>
      <c r="G427" s="11" t="s">
        <v>197</v>
      </c>
      <c r="H427" s="286" t="s">
        <v>184</v>
      </c>
      <c r="I427" s="10" t="s">
        <v>2</v>
      </c>
      <c r="J427" s="10" t="s">
        <v>39</v>
      </c>
      <c r="K427" s="11" t="s">
        <v>40</v>
      </c>
      <c r="L427" s="13" t="s">
        <v>14</v>
      </c>
      <c r="M427" s="14" t="s">
        <v>15</v>
      </c>
      <c r="N427" s="15" t="s">
        <v>11</v>
      </c>
      <c r="O427" s="16" t="s">
        <v>76</v>
      </c>
    </row>
    <row r="428" spans="1:15" ht="60" customHeight="1" thickBot="1" x14ac:dyDescent="0.55000000000000004">
      <c r="A428" s="17">
        <v>1</v>
      </c>
      <c r="B428" s="354" t="s">
        <v>29</v>
      </c>
      <c r="C428" s="357">
        <v>1003</v>
      </c>
      <c r="D428" s="52" t="s">
        <v>35</v>
      </c>
      <c r="E428" s="262">
        <v>3983.65</v>
      </c>
      <c r="F428" s="286">
        <v>46163</v>
      </c>
      <c r="G428" s="262">
        <v>4078.13</v>
      </c>
      <c r="H428" s="286">
        <v>46197</v>
      </c>
      <c r="I428" s="34">
        <f>G428-E428</f>
        <v>94.480000000000018</v>
      </c>
      <c r="J428" s="34"/>
      <c r="K428" s="34">
        <v>257</v>
      </c>
      <c r="L428" s="360">
        <v>169.96</v>
      </c>
      <c r="M428" s="36">
        <f t="shared" ref="M428:M433" si="47">I428*K428+J428</f>
        <v>24281.360000000004</v>
      </c>
      <c r="N428" s="37">
        <v>0</v>
      </c>
      <c r="O428" s="38">
        <f>M428-N428</f>
        <v>24281.360000000004</v>
      </c>
    </row>
    <row r="429" spans="1:15" ht="60" customHeight="1" thickBot="1" x14ac:dyDescent="0.55000000000000004">
      <c r="A429" s="17"/>
      <c r="B429" s="355"/>
      <c r="C429" s="358"/>
      <c r="D429" s="21" t="s">
        <v>36</v>
      </c>
      <c r="E429" s="261">
        <v>306</v>
      </c>
      <c r="F429" s="286">
        <v>46163</v>
      </c>
      <c r="G429" s="261">
        <v>312</v>
      </c>
      <c r="H429" s="286">
        <v>46197</v>
      </c>
      <c r="I429" s="34">
        <f>G429-E429</f>
        <v>6</v>
      </c>
      <c r="J429" s="34">
        <v>1000</v>
      </c>
      <c r="K429" s="20">
        <v>1200</v>
      </c>
      <c r="L429" s="361"/>
      <c r="M429" s="36">
        <f t="shared" si="47"/>
        <v>8200</v>
      </c>
      <c r="N429" s="19">
        <v>0</v>
      </c>
      <c r="O429" s="38">
        <f>L429+M429-N429</f>
        <v>8200</v>
      </c>
    </row>
    <row r="430" spans="1:15" ht="60" customHeight="1" thickBot="1" x14ac:dyDescent="0.55000000000000004">
      <c r="A430" s="17"/>
      <c r="B430" s="355"/>
      <c r="C430" s="358"/>
      <c r="D430" s="53" t="s">
        <v>37</v>
      </c>
      <c r="E430" s="40">
        <v>0</v>
      </c>
      <c r="F430" s="286">
        <v>46163</v>
      </c>
      <c r="G430" s="40">
        <v>0</v>
      </c>
      <c r="H430" s="286">
        <v>46197</v>
      </c>
      <c r="I430" s="39">
        <v>1</v>
      </c>
      <c r="J430" s="39"/>
      <c r="K430" s="39">
        <v>25000</v>
      </c>
      <c r="L430" s="361"/>
      <c r="M430" s="36">
        <f t="shared" si="47"/>
        <v>25000</v>
      </c>
      <c r="N430" s="23">
        <v>0</v>
      </c>
      <c r="O430" s="38">
        <f>L430+M430-N430</f>
        <v>25000</v>
      </c>
    </row>
    <row r="431" spans="1:15" ht="60" customHeight="1" thickBot="1" x14ac:dyDescent="0.55000000000000004">
      <c r="A431" s="17"/>
      <c r="B431" s="355"/>
      <c r="C431" s="358"/>
      <c r="D431" s="59" t="s">
        <v>42</v>
      </c>
      <c r="E431" s="56"/>
      <c r="F431" s="286"/>
      <c r="G431" s="56"/>
      <c r="H431" s="286"/>
      <c r="I431" s="55">
        <v>0</v>
      </c>
      <c r="J431" s="55"/>
      <c r="K431" s="55">
        <v>0</v>
      </c>
      <c r="L431" s="361"/>
      <c r="M431" s="36">
        <f t="shared" si="47"/>
        <v>0</v>
      </c>
      <c r="N431" s="58"/>
      <c r="O431" s="38">
        <f>L431+M431-N431</f>
        <v>0</v>
      </c>
    </row>
    <row r="432" spans="1:15" ht="60" customHeight="1" thickBot="1" x14ac:dyDescent="0.55000000000000004">
      <c r="A432" s="17"/>
      <c r="B432" s="355"/>
      <c r="C432" s="358"/>
      <c r="D432" s="52" t="s">
        <v>85</v>
      </c>
      <c r="E432" s="35"/>
      <c r="F432" s="286"/>
      <c r="G432" s="35"/>
      <c r="H432" s="286"/>
      <c r="I432" s="55">
        <v>1</v>
      </c>
      <c r="J432" s="34"/>
      <c r="K432" s="34">
        <v>2000</v>
      </c>
      <c r="L432" s="361"/>
      <c r="M432" s="36">
        <f t="shared" si="47"/>
        <v>2000</v>
      </c>
      <c r="N432" s="37"/>
      <c r="O432" s="38">
        <f>L432+M432-N432</f>
        <v>2000</v>
      </c>
    </row>
    <row r="433" spans="1:15" ht="60" customHeight="1" thickBot="1" x14ac:dyDescent="0.55000000000000004">
      <c r="A433" s="17"/>
      <c r="B433" s="355"/>
      <c r="C433" s="358"/>
      <c r="D433" s="59" t="s">
        <v>14</v>
      </c>
      <c r="E433" s="56"/>
      <c r="F433" s="286"/>
      <c r="G433" s="56"/>
      <c r="H433" s="286"/>
      <c r="I433" s="55"/>
      <c r="J433" s="55"/>
      <c r="K433" s="55"/>
      <c r="L433" s="362"/>
      <c r="M433" s="36">
        <f t="shared" si="47"/>
        <v>0</v>
      </c>
      <c r="N433" s="58"/>
      <c r="O433" s="38">
        <f>L428</f>
        <v>169.96</v>
      </c>
    </row>
    <row r="434" spans="1:15" ht="60" customHeight="1" thickBot="1" x14ac:dyDescent="0.55000000000000004">
      <c r="A434" s="17"/>
      <c r="B434" s="356"/>
      <c r="C434" s="359"/>
      <c r="D434" s="41" t="s">
        <v>38</v>
      </c>
      <c r="E434" s="42"/>
      <c r="F434" s="286"/>
      <c r="G434" s="42"/>
      <c r="H434" s="286"/>
      <c r="I434" s="43"/>
      <c r="J434" s="43"/>
      <c r="K434" s="43"/>
      <c r="L434" s="44"/>
      <c r="M434" s="44"/>
      <c r="N434" s="45"/>
      <c r="O434" s="46">
        <f>SUM(O428:O433)</f>
        <v>59651.32</v>
      </c>
    </row>
    <row r="435" spans="1:15" ht="60" customHeight="1" thickBot="1" x14ac:dyDescent="0.55000000000000004">
      <c r="A435" s="22"/>
      <c r="B435" s="276"/>
      <c r="C435" s="278"/>
      <c r="D435" s="60"/>
      <c r="E435" s="61"/>
      <c r="F435" s="286"/>
      <c r="G435" s="61"/>
      <c r="H435" s="286"/>
      <c r="I435" s="60"/>
      <c r="J435" s="60"/>
      <c r="K435" s="60"/>
      <c r="L435" s="62"/>
      <c r="M435" s="62"/>
      <c r="N435" s="63"/>
      <c r="O435" s="64"/>
    </row>
    <row r="436" spans="1:15" ht="60" customHeight="1" thickBot="1" x14ac:dyDescent="0.35">
      <c r="A436" s="8" t="s">
        <v>3</v>
      </c>
      <c r="B436" s="9" t="s">
        <v>0</v>
      </c>
      <c r="C436" s="11" t="s">
        <v>1</v>
      </c>
      <c r="D436" s="32" t="s">
        <v>34</v>
      </c>
      <c r="E436" s="11" t="s">
        <v>198</v>
      </c>
      <c r="F436" s="286" t="s">
        <v>199</v>
      </c>
      <c r="G436" s="11" t="s">
        <v>197</v>
      </c>
      <c r="H436" s="286" t="s">
        <v>184</v>
      </c>
      <c r="I436" s="10" t="s">
        <v>2</v>
      </c>
      <c r="J436" s="10" t="s">
        <v>39</v>
      </c>
      <c r="K436" s="11" t="s">
        <v>40</v>
      </c>
      <c r="L436" s="13" t="s">
        <v>14</v>
      </c>
      <c r="M436" s="14" t="s">
        <v>15</v>
      </c>
      <c r="N436" s="15" t="s">
        <v>11</v>
      </c>
      <c r="O436" s="16" t="s">
        <v>12</v>
      </c>
    </row>
    <row r="437" spans="1:15" ht="60" customHeight="1" thickBot="1" x14ac:dyDescent="0.55000000000000004">
      <c r="A437" s="17">
        <v>1</v>
      </c>
      <c r="B437" s="354" t="s">
        <v>63</v>
      </c>
      <c r="C437" s="357">
        <v>1004</v>
      </c>
      <c r="D437" s="34" t="s">
        <v>35</v>
      </c>
      <c r="E437" s="262">
        <v>5961.7</v>
      </c>
      <c r="F437" s="286">
        <v>46163</v>
      </c>
      <c r="G437" s="262">
        <v>6116.4</v>
      </c>
      <c r="H437" s="286">
        <v>46197</v>
      </c>
      <c r="I437" s="34">
        <f>G437-E437</f>
        <v>154.69999999999982</v>
      </c>
      <c r="J437" s="34"/>
      <c r="K437" s="34">
        <v>257</v>
      </c>
      <c r="L437" s="360">
        <v>106050.09</v>
      </c>
      <c r="M437" s="36">
        <f t="shared" ref="M437:M442" si="48">I437*K437+J437</f>
        <v>39757.899999999951</v>
      </c>
      <c r="N437" s="37"/>
      <c r="O437" s="38">
        <f>M437-N437</f>
        <v>39757.899999999951</v>
      </c>
    </row>
    <row r="438" spans="1:15" ht="60" customHeight="1" thickBot="1" x14ac:dyDescent="0.55000000000000004">
      <c r="A438" s="17"/>
      <c r="B438" s="355"/>
      <c r="C438" s="358"/>
      <c r="D438" s="21" t="s">
        <v>36</v>
      </c>
      <c r="E438" s="261">
        <v>444</v>
      </c>
      <c r="F438" s="286">
        <v>46163</v>
      </c>
      <c r="G438" s="261">
        <v>451</v>
      </c>
      <c r="H438" s="286">
        <v>46197</v>
      </c>
      <c r="I438" s="34">
        <f>G438-E438</f>
        <v>7</v>
      </c>
      <c r="J438" s="34">
        <v>1000</v>
      </c>
      <c r="K438" s="20">
        <v>1200</v>
      </c>
      <c r="L438" s="361"/>
      <c r="M438" s="36">
        <f t="shared" si="48"/>
        <v>9400</v>
      </c>
      <c r="N438" s="19"/>
      <c r="O438" s="38">
        <f>L438+M438-N438</f>
        <v>9400</v>
      </c>
    </row>
    <row r="439" spans="1:15" ht="60" customHeight="1" thickBot="1" x14ac:dyDescent="0.55000000000000004">
      <c r="A439" s="17"/>
      <c r="B439" s="355"/>
      <c r="C439" s="358"/>
      <c r="D439" s="53" t="s">
        <v>37</v>
      </c>
      <c r="E439" s="40">
        <v>0</v>
      </c>
      <c r="F439" s="286">
        <v>46163</v>
      </c>
      <c r="G439" s="40">
        <v>0</v>
      </c>
      <c r="H439" s="286">
        <v>46197</v>
      </c>
      <c r="I439" s="39">
        <v>1</v>
      </c>
      <c r="J439" s="39"/>
      <c r="K439" s="39">
        <v>25000</v>
      </c>
      <c r="L439" s="361"/>
      <c r="M439" s="36">
        <f t="shared" si="48"/>
        <v>25000</v>
      </c>
      <c r="N439" s="23"/>
      <c r="O439" s="38">
        <f>L439+M439-N439</f>
        <v>25000</v>
      </c>
    </row>
    <row r="440" spans="1:15" ht="60" customHeight="1" thickBot="1" x14ac:dyDescent="0.55000000000000004">
      <c r="A440" s="17"/>
      <c r="B440" s="355"/>
      <c r="C440" s="358"/>
      <c r="D440" s="59" t="s">
        <v>42</v>
      </c>
      <c r="E440" s="56"/>
      <c r="F440" s="286"/>
      <c r="G440" s="56"/>
      <c r="H440" s="286"/>
      <c r="I440" s="55">
        <v>0</v>
      </c>
      <c r="J440" s="55"/>
      <c r="K440" s="55">
        <v>0</v>
      </c>
      <c r="L440" s="361"/>
      <c r="M440" s="36">
        <f t="shared" si="48"/>
        <v>0</v>
      </c>
      <c r="N440" s="58"/>
      <c r="O440" s="38">
        <f>L440+M440-N440</f>
        <v>0</v>
      </c>
    </row>
    <row r="441" spans="1:15" ht="60" customHeight="1" thickBot="1" x14ac:dyDescent="0.55000000000000004">
      <c r="A441" s="17"/>
      <c r="B441" s="355"/>
      <c r="C441" s="358"/>
      <c r="D441" s="52" t="s">
        <v>85</v>
      </c>
      <c r="E441" s="35"/>
      <c r="F441" s="286"/>
      <c r="G441" s="35"/>
      <c r="H441" s="286"/>
      <c r="I441" s="55">
        <v>1</v>
      </c>
      <c r="J441" s="34"/>
      <c r="K441" s="34">
        <v>2000</v>
      </c>
      <c r="L441" s="361"/>
      <c r="M441" s="36">
        <f t="shared" si="48"/>
        <v>2000</v>
      </c>
      <c r="N441" s="37"/>
      <c r="O441" s="38">
        <f>L441+M441-N441</f>
        <v>2000</v>
      </c>
    </row>
    <row r="442" spans="1:15" ht="60" customHeight="1" thickBot="1" x14ac:dyDescent="0.55000000000000004">
      <c r="A442" s="17"/>
      <c r="B442" s="355"/>
      <c r="C442" s="358"/>
      <c r="D442" s="59" t="s">
        <v>14</v>
      </c>
      <c r="E442" s="56"/>
      <c r="F442" s="286"/>
      <c r="G442" s="56"/>
      <c r="H442" s="286"/>
      <c r="I442" s="55"/>
      <c r="J442" s="55"/>
      <c r="K442" s="55"/>
      <c r="L442" s="362"/>
      <c r="M442" s="36">
        <f t="shared" si="48"/>
        <v>0</v>
      </c>
      <c r="N442" s="58"/>
      <c r="O442" s="38">
        <f>L437</f>
        <v>106050.09</v>
      </c>
    </row>
    <row r="443" spans="1:15" ht="60" customHeight="1" thickBot="1" x14ac:dyDescent="0.55000000000000004">
      <c r="A443" s="17"/>
      <c r="B443" s="356"/>
      <c r="C443" s="359"/>
      <c r="D443" s="41" t="s">
        <v>38</v>
      </c>
      <c r="E443" s="42"/>
      <c r="F443" s="286"/>
      <c r="G443" s="42"/>
      <c r="H443" s="286"/>
      <c r="I443" s="43"/>
      <c r="J443" s="43"/>
      <c r="K443" s="43"/>
      <c r="L443" s="44"/>
      <c r="M443" s="44"/>
      <c r="N443" s="45"/>
      <c r="O443" s="46">
        <f>O437+O438+O439+O440+O441+O442</f>
        <v>182207.98999999993</v>
      </c>
    </row>
    <row r="444" spans="1:15" ht="30.6" thickBot="1" x14ac:dyDescent="0.55000000000000004">
      <c r="A444" s="22"/>
      <c r="B444" s="276"/>
      <c r="C444" s="278"/>
      <c r="D444" s="60"/>
      <c r="E444" s="61"/>
      <c r="F444" s="286"/>
      <c r="G444" s="61"/>
      <c r="H444" s="286"/>
      <c r="I444" s="60"/>
      <c r="J444" s="60"/>
      <c r="K444" s="60"/>
      <c r="L444" s="62"/>
      <c r="M444" s="62"/>
      <c r="N444" s="63"/>
      <c r="O444" s="64"/>
    </row>
    <row r="445" spans="1:15" ht="60" customHeight="1" thickBot="1" x14ac:dyDescent="0.35">
      <c r="A445" s="8" t="s">
        <v>3</v>
      </c>
      <c r="B445" s="9" t="s">
        <v>0</v>
      </c>
      <c r="C445" s="11" t="s">
        <v>1</v>
      </c>
      <c r="D445" s="32" t="s">
        <v>34</v>
      </c>
      <c r="E445" s="11" t="s">
        <v>198</v>
      </c>
      <c r="F445" s="286" t="s">
        <v>199</v>
      </c>
      <c r="G445" s="11" t="s">
        <v>197</v>
      </c>
      <c r="H445" s="286" t="s">
        <v>184</v>
      </c>
      <c r="I445" s="10" t="s">
        <v>2</v>
      </c>
      <c r="J445" s="10" t="s">
        <v>39</v>
      </c>
      <c r="K445" s="11" t="s">
        <v>40</v>
      </c>
      <c r="L445" s="13" t="s">
        <v>14</v>
      </c>
      <c r="M445" s="14" t="s">
        <v>15</v>
      </c>
      <c r="N445" s="15" t="s">
        <v>11</v>
      </c>
      <c r="O445" s="16" t="s">
        <v>76</v>
      </c>
    </row>
    <row r="446" spans="1:15" ht="60" customHeight="1" thickBot="1" x14ac:dyDescent="0.55000000000000004">
      <c r="A446" s="17">
        <v>1</v>
      </c>
      <c r="B446" s="354" t="s">
        <v>25</v>
      </c>
      <c r="C446" s="357">
        <v>1005</v>
      </c>
      <c r="D446" s="34" t="s">
        <v>35</v>
      </c>
      <c r="E446" s="262">
        <v>397.3</v>
      </c>
      <c r="F446" s="286">
        <v>46163</v>
      </c>
      <c r="G446" s="262">
        <v>403.52</v>
      </c>
      <c r="H446" s="286">
        <v>46197</v>
      </c>
      <c r="I446" s="34">
        <f>G446-E446</f>
        <v>6.2199999999999704</v>
      </c>
      <c r="J446" s="34"/>
      <c r="K446" s="34">
        <v>257</v>
      </c>
      <c r="L446" s="360">
        <v>6.7</v>
      </c>
      <c r="M446" s="36">
        <f t="shared" ref="M446:M451" si="49">I446*K446+J446</f>
        <v>1598.5399999999925</v>
      </c>
      <c r="N446" s="37"/>
      <c r="O446" s="38">
        <f>M446-N446</f>
        <v>1598.5399999999925</v>
      </c>
    </row>
    <row r="447" spans="1:15" ht="60" customHeight="1" thickBot="1" x14ac:dyDescent="0.55000000000000004">
      <c r="A447" s="17"/>
      <c r="B447" s="355"/>
      <c r="C447" s="358"/>
      <c r="D447" s="21" t="s">
        <v>36</v>
      </c>
      <c r="E447" s="261">
        <v>411</v>
      </c>
      <c r="F447" s="286">
        <v>46163</v>
      </c>
      <c r="G447" s="261">
        <v>417</v>
      </c>
      <c r="H447" s="286">
        <v>46197</v>
      </c>
      <c r="I447" s="34">
        <f>G447-E447</f>
        <v>6</v>
      </c>
      <c r="J447" s="34">
        <v>1000</v>
      </c>
      <c r="K447" s="20">
        <v>1200</v>
      </c>
      <c r="L447" s="361"/>
      <c r="M447" s="36">
        <f t="shared" si="49"/>
        <v>8200</v>
      </c>
      <c r="N447" s="19"/>
      <c r="O447" s="38">
        <f>L447+M447-N447</f>
        <v>8200</v>
      </c>
    </row>
    <row r="448" spans="1:15" ht="60" customHeight="1" thickBot="1" x14ac:dyDescent="0.55000000000000004">
      <c r="A448" s="17"/>
      <c r="B448" s="355"/>
      <c r="C448" s="358"/>
      <c r="D448" s="53" t="s">
        <v>37</v>
      </c>
      <c r="E448" s="40">
        <v>0</v>
      </c>
      <c r="F448" s="286">
        <v>46163</v>
      </c>
      <c r="G448" s="40">
        <v>0</v>
      </c>
      <c r="H448" s="286">
        <v>46197</v>
      </c>
      <c r="I448" s="39">
        <v>1</v>
      </c>
      <c r="J448" s="39"/>
      <c r="K448" s="39">
        <v>25000</v>
      </c>
      <c r="L448" s="361"/>
      <c r="M448" s="36">
        <f t="shared" si="49"/>
        <v>25000</v>
      </c>
      <c r="N448" s="23"/>
      <c r="O448" s="38">
        <f>L448+M448-N448</f>
        <v>25000</v>
      </c>
    </row>
    <row r="449" spans="1:15" ht="32.25" customHeight="1" thickBot="1" x14ac:dyDescent="0.55000000000000004">
      <c r="A449" s="17"/>
      <c r="B449" s="355"/>
      <c r="C449" s="358"/>
      <c r="D449" s="59" t="s">
        <v>42</v>
      </c>
      <c r="E449" s="56"/>
      <c r="F449" s="286"/>
      <c r="G449" s="56"/>
      <c r="H449" s="286"/>
      <c r="I449" s="55">
        <v>0</v>
      </c>
      <c r="J449" s="55"/>
      <c r="K449" s="55">
        <v>0</v>
      </c>
      <c r="L449" s="361"/>
      <c r="M449" s="36">
        <f t="shared" si="49"/>
        <v>0</v>
      </c>
      <c r="N449" s="58"/>
      <c r="O449" s="38">
        <f>L449+M449-N449</f>
        <v>0</v>
      </c>
    </row>
    <row r="450" spans="1:15" ht="33.75" customHeight="1" thickBot="1" x14ac:dyDescent="0.55000000000000004">
      <c r="A450" s="17"/>
      <c r="B450" s="355"/>
      <c r="C450" s="358"/>
      <c r="D450" s="52" t="s">
        <v>85</v>
      </c>
      <c r="E450" s="35"/>
      <c r="F450" s="286"/>
      <c r="G450" s="35"/>
      <c r="H450" s="286"/>
      <c r="I450" s="55">
        <v>1</v>
      </c>
      <c r="J450" s="34"/>
      <c r="K450" s="34">
        <v>2000</v>
      </c>
      <c r="L450" s="361"/>
      <c r="M450" s="36">
        <f t="shared" si="49"/>
        <v>2000</v>
      </c>
      <c r="N450" s="37"/>
      <c r="O450" s="38">
        <f>L450+M450-N450</f>
        <v>2000</v>
      </c>
    </row>
    <row r="451" spans="1:15" ht="60" customHeight="1" thickBot="1" x14ac:dyDescent="0.55000000000000004">
      <c r="A451" s="17"/>
      <c r="B451" s="355"/>
      <c r="C451" s="358"/>
      <c r="D451" s="59" t="s">
        <v>14</v>
      </c>
      <c r="E451" s="56"/>
      <c r="F451" s="286"/>
      <c r="G451" s="56"/>
      <c r="H451" s="286"/>
      <c r="I451" s="55"/>
      <c r="J451" s="55"/>
      <c r="K451" s="55"/>
      <c r="L451" s="362"/>
      <c r="M451" s="36">
        <f t="shared" si="49"/>
        <v>0</v>
      </c>
      <c r="N451" s="58"/>
      <c r="O451" s="38">
        <f>L446</f>
        <v>6.7</v>
      </c>
    </row>
    <row r="452" spans="1:15" ht="60" customHeight="1" thickBot="1" x14ac:dyDescent="0.55000000000000004">
      <c r="A452" s="17"/>
      <c r="B452" s="356"/>
      <c r="C452" s="359"/>
      <c r="D452" s="41" t="s">
        <v>38</v>
      </c>
      <c r="E452" s="42"/>
      <c r="F452" s="286"/>
      <c r="G452" s="42"/>
      <c r="H452" s="286"/>
      <c r="I452" s="43"/>
      <c r="J452" s="43"/>
      <c r="K452" s="43"/>
      <c r="L452" s="44"/>
      <c r="M452" s="44"/>
      <c r="N452" s="45"/>
      <c r="O452" s="46">
        <f>SUM(O446:O451)</f>
        <v>36805.239999999991</v>
      </c>
    </row>
    <row r="453" spans="1:15" ht="60" customHeight="1" thickBot="1" x14ac:dyDescent="0.55000000000000004">
      <c r="A453" s="22"/>
      <c r="B453" s="276"/>
      <c r="C453" s="278"/>
      <c r="D453" s="60"/>
      <c r="E453" s="61"/>
      <c r="F453" s="286"/>
      <c r="G453" s="61"/>
      <c r="H453" s="286"/>
      <c r="I453" s="60"/>
      <c r="J453" s="60"/>
      <c r="K453" s="60"/>
      <c r="L453" s="62"/>
      <c r="M453" s="62"/>
      <c r="N453" s="63"/>
      <c r="O453" s="64"/>
    </row>
    <row r="454" spans="1:15" ht="60" customHeight="1" thickBot="1" x14ac:dyDescent="0.35">
      <c r="A454" s="8" t="s">
        <v>3</v>
      </c>
      <c r="B454" s="9" t="s">
        <v>0</v>
      </c>
      <c r="C454" s="11" t="s">
        <v>1</v>
      </c>
      <c r="D454" s="32" t="s">
        <v>34</v>
      </c>
      <c r="E454" s="11" t="s">
        <v>198</v>
      </c>
      <c r="F454" s="286" t="s">
        <v>199</v>
      </c>
      <c r="G454" s="11" t="s">
        <v>197</v>
      </c>
      <c r="H454" s="286" t="s">
        <v>184</v>
      </c>
      <c r="I454" s="10" t="s">
        <v>2</v>
      </c>
      <c r="J454" s="10" t="s">
        <v>39</v>
      </c>
      <c r="K454" s="11" t="s">
        <v>40</v>
      </c>
      <c r="L454" s="13" t="s">
        <v>14</v>
      </c>
      <c r="M454" s="14" t="s">
        <v>15</v>
      </c>
      <c r="N454" s="15" t="s">
        <v>11</v>
      </c>
      <c r="O454" s="16" t="s">
        <v>76</v>
      </c>
    </row>
    <row r="455" spans="1:15" ht="60" customHeight="1" thickBot="1" x14ac:dyDescent="0.55000000000000004">
      <c r="A455" s="17">
        <v>1</v>
      </c>
      <c r="B455" s="354" t="s">
        <v>64</v>
      </c>
      <c r="C455" s="357">
        <v>1101</v>
      </c>
      <c r="D455" s="52" t="s">
        <v>35</v>
      </c>
      <c r="E455" s="262">
        <v>3982.9</v>
      </c>
      <c r="F455" s="286">
        <v>46163</v>
      </c>
      <c r="G455" s="262">
        <v>4061.36</v>
      </c>
      <c r="H455" s="286">
        <v>46197</v>
      </c>
      <c r="I455" s="34">
        <f>G455-E455</f>
        <v>78.460000000000036</v>
      </c>
      <c r="J455" s="34"/>
      <c r="K455" s="34">
        <v>257</v>
      </c>
      <c r="L455" s="360">
        <v>33564.06</v>
      </c>
      <c r="M455" s="36">
        <f t="shared" ref="M455:M460" si="50">I455*K455+J455</f>
        <v>20164.220000000008</v>
      </c>
      <c r="N455" s="37"/>
      <c r="O455" s="38">
        <f>M455-N455</f>
        <v>20164.220000000008</v>
      </c>
    </row>
    <row r="456" spans="1:15" ht="60" customHeight="1" thickBot="1" x14ac:dyDescent="0.55000000000000004">
      <c r="A456" s="17"/>
      <c r="B456" s="355"/>
      <c r="C456" s="358"/>
      <c r="D456" s="21" t="s">
        <v>36</v>
      </c>
      <c r="E456" s="261">
        <v>734</v>
      </c>
      <c r="F456" s="286">
        <v>46163</v>
      </c>
      <c r="G456" s="261">
        <v>745</v>
      </c>
      <c r="H456" s="286">
        <v>46197</v>
      </c>
      <c r="I456" s="34">
        <f>G456-E456</f>
        <v>11</v>
      </c>
      <c r="J456" s="34">
        <v>1000</v>
      </c>
      <c r="K456" s="20">
        <v>1200</v>
      </c>
      <c r="L456" s="361"/>
      <c r="M456" s="36">
        <f t="shared" si="50"/>
        <v>14200</v>
      </c>
      <c r="N456" s="19"/>
      <c r="O456" s="38">
        <f>L456+M456-N456</f>
        <v>14200</v>
      </c>
    </row>
    <row r="457" spans="1:15" ht="60" customHeight="1" thickBot="1" x14ac:dyDescent="0.55000000000000004">
      <c r="A457" s="17"/>
      <c r="B457" s="355"/>
      <c r="C457" s="358"/>
      <c r="D457" s="53" t="s">
        <v>37</v>
      </c>
      <c r="E457" s="40">
        <v>0</v>
      </c>
      <c r="F457" s="286">
        <v>46163</v>
      </c>
      <c r="G457" s="40">
        <v>0</v>
      </c>
      <c r="H457" s="286">
        <v>46197</v>
      </c>
      <c r="I457" s="39">
        <v>1</v>
      </c>
      <c r="J457" s="39"/>
      <c r="K457" s="39">
        <v>25000</v>
      </c>
      <c r="L457" s="361"/>
      <c r="M457" s="36">
        <f t="shared" si="50"/>
        <v>25000</v>
      </c>
      <c r="N457" s="23"/>
      <c r="O457" s="38">
        <f>L457+M457-N457</f>
        <v>25000</v>
      </c>
    </row>
    <row r="458" spans="1:15" ht="60" customHeight="1" thickBot="1" x14ac:dyDescent="0.55000000000000004">
      <c r="A458" s="17"/>
      <c r="B458" s="355"/>
      <c r="C458" s="358"/>
      <c r="D458" s="59" t="s">
        <v>42</v>
      </c>
      <c r="E458" s="56"/>
      <c r="F458" s="286"/>
      <c r="G458" s="56"/>
      <c r="H458" s="286"/>
      <c r="I458" s="55">
        <v>0</v>
      </c>
      <c r="J458" s="55"/>
      <c r="K458" s="55">
        <v>0</v>
      </c>
      <c r="L458" s="361"/>
      <c r="M458" s="36">
        <f t="shared" si="50"/>
        <v>0</v>
      </c>
      <c r="N458" s="58"/>
      <c r="O458" s="38">
        <f>L458+M458-N458</f>
        <v>0</v>
      </c>
    </row>
    <row r="459" spans="1:15" ht="60" customHeight="1" thickBot="1" x14ac:dyDescent="0.55000000000000004">
      <c r="A459" s="17"/>
      <c r="B459" s="355"/>
      <c r="C459" s="358"/>
      <c r="D459" s="52" t="s">
        <v>85</v>
      </c>
      <c r="E459" s="35"/>
      <c r="F459" s="286"/>
      <c r="G459" s="35"/>
      <c r="H459" s="286"/>
      <c r="I459" s="55">
        <v>1</v>
      </c>
      <c r="J459" s="34"/>
      <c r="K459" s="34">
        <v>2000</v>
      </c>
      <c r="L459" s="361"/>
      <c r="M459" s="36">
        <f t="shared" si="50"/>
        <v>2000</v>
      </c>
      <c r="N459" s="37"/>
      <c r="O459" s="38">
        <f>L459+M459-N459</f>
        <v>2000</v>
      </c>
    </row>
    <row r="460" spans="1:15" ht="60" customHeight="1" thickBot="1" x14ac:dyDescent="0.55000000000000004">
      <c r="A460" s="17"/>
      <c r="B460" s="355"/>
      <c r="C460" s="358"/>
      <c r="D460" s="59" t="s">
        <v>14</v>
      </c>
      <c r="E460" s="56"/>
      <c r="F460" s="286"/>
      <c r="G460" s="56"/>
      <c r="H460" s="286"/>
      <c r="I460" s="55"/>
      <c r="J460" s="55"/>
      <c r="K460" s="55"/>
      <c r="L460" s="362"/>
      <c r="M460" s="36">
        <f t="shared" si="50"/>
        <v>0</v>
      </c>
      <c r="N460" s="58"/>
      <c r="O460" s="38">
        <f>L455</f>
        <v>33564.06</v>
      </c>
    </row>
    <row r="461" spans="1:15" ht="60" customHeight="1" thickBot="1" x14ac:dyDescent="0.55000000000000004">
      <c r="A461" s="17"/>
      <c r="B461" s="356"/>
      <c r="C461" s="359"/>
      <c r="D461" s="41" t="s">
        <v>38</v>
      </c>
      <c r="E461" s="42"/>
      <c r="F461" s="286"/>
      <c r="G461" s="42"/>
      <c r="H461" s="286"/>
      <c r="I461" s="43"/>
      <c r="J461" s="43"/>
      <c r="K461" s="43"/>
      <c r="L461" s="44"/>
      <c r="M461" s="44"/>
      <c r="N461" s="45"/>
      <c r="O461" s="46">
        <f>SUM(O455:O460)</f>
        <v>94928.28</v>
      </c>
    </row>
    <row r="462" spans="1:15" ht="60" customHeight="1" thickBot="1" x14ac:dyDescent="0.55000000000000004">
      <c r="A462" s="20"/>
      <c r="B462" s="20"/>
      <c r="C462" s="20"/>
      <c r="D462" s="20"/>
      <c r="E462" s="21"/>
      <c r="F462" s="286"/>
      <c r="G462" s="21"/>
      <c r="H462" s="286"/>
      <c r="I462" s="20"/>
      <c r="J462" s="20"/>
      <c r="K462" s="20"/>
      <c r="L462" s="29"/>
      <c r="M462" s="29"/>
      <c r="N462" s="19"/>
      <c r="O462" s="31"/>
    </row>
    <row r="463" spans="1:15" ht="60" customHeight="1" thickBot="1" x14ac:dyDescent="0.35">
      <c r="F463" s="286"/>
      <c r="H463" s="286"/>
    </row>
    <row r="464" spans="1:15" ht="60" customHeight="1" thickBot="1" x14ac:dyDescent="0.35">
      <c r="A464" s="8" t="s">
        <v>3</v>
      </c>
      <c r="B464" s="9" t="s">
        <v>0</v>
      </c>
      <c r="C464" s="11" t="s">
        <v>1</v>
      </c>
      <c r="D464" s="32" t="s">
        <v>34</v>
      </c>
      <c r="E464" s="11" t="s">
        <v>198</v>
      </c>
      <c r="F464" s="286" t="s">
        <v>199</v>
      </c>
      <c r="G464" s="11" t="s">
        <v>197</v>
      </c>
      <c r="H464" s="286" t="s">
        <v>184</v>
      </c>
      <c r="I464" s="10" t="s">
        <v>2</v>
      </c>
      <c r="J464" s="10" t="s">
        <v>39</v>
      </c>
      <c r="K464" s="11" t="s">
        <v>40</v>
      </c>
      <c r="L464" s="13" t="s">
        <v>14</v>
      </c>
      <c r="M464" s="14" t="s">
        <v>15</v>
      </c>
      <c r="N464" s="15" t="s">
        <v>11</v>
      </c>
      <c r="O464" s="16" t="s">
        <v>76</v>
      </c>
    </row>
    <row r="465" spans="1:15" ht="60" customHeight="1" thickBot="1" x14ac:dyDescent="0.55000000000000004">
      <c r="A465" s="17">
        <v>1</v>
      </c>
      <c r="B465" s="354" t="s">
        <v>200</v>
      </c>
      <c r="C465" s="357">
        <v>1102</v>
      </c>
      <c r="D465" s="52" t="s">
        <v>35</v>
      </c>
      <c r="E465" s="262">
        <v>7043.46</v>
      </c>
      <c r="F465" s="286">
        <v>46163</v>
      </c>
      <c r="G465" s="262">
        <v>7286.14</v>
      </c>
      <c r="H465" s="286">
        <v>46197</v>
      </c>
      <c r="I465" s="34">
        <f>G465-E465</f>
        <v>242.68000000000029</v>
      </c>
      <c r="J465" s="34"/>
      <c r="K465" s="34">
        <v>257</v>
      </c>
      <c r="L465" s="360">
        <v>3137.85</v>
      </c>
      <c r="M465" s="36">
        <f t="shared" ref="M465:M470" si="51">I465*K465+J465</f>
        <v>62368.760000000075</v>
      </c>
      <c r="N465" s="37">
        <v>0</v>
      </c>
      <c r="O465" s="38">
        <f>M465-N465</f>
        <v>62368.760000000075</v>
      </c>
    </row>
    <row r="466" spans="1:15" ht="60" customHeight="1" thickBot="1" x14ac:dyDescent="0.55000000000000004">
      <c r="A466" s="17"/>
      <c r="B466" s="355"/>
      <c r="C466" s="358"/>
      <c r="D466" s="21" t="s">
        <v>36</v>
      </c>
      <c r="E466" s="261">
        <v>319</v>
      </c>
      <c r="F466" s="286">
        <v>46163</v>
      </c>
      <c r="G466" s="261">
        <v>342</v>
      </c>
      <c r="H466" s="286">
        <v>46197</v>
      </c>
      <c r="I466" s="34">
        <f>G466-E466</f>
        <v>23</v>
      </c>
      <c r="J466" s="34">
        <v>1000</v>
      </c>
      <c r="K466" s="20">
        <v>1200</v>
      </c>
      <c r="L466" s="361"/>
      <c r="M466" s="36">
        <f t="shared" si="51"/>
        <v>28600</v>
      </c>
      <c r="N466" s="19">
        <v>0</v>
      </c>
      <c r="O466" s="38">
        <f>L466+M466-N466</f>
        <v>28600</v>
      </c>
    </row>
    <row r="467" spans="1:15" ht="60" customHeight="1" thickBot="1" x14ac:dyDescent="0.55000000000000004">
      <c r="A467" s="17"/>
      <c r="B467" s="355"/>
      <c r="C467" s="358"/>
      <c r="D467" s="53" t="s">
        <v>37</v>
      </c>
      <c r="E467" s="40">
        <v>0</v>
      </c>
      <c r="F467" s="286">
        <v>46163</v>
      </c>
      <c r="G467" s="40">
        <v>0</v>
      </c>
      <c r="H467" s="286">
        <v>46197</v>
      </c>
      <c r="I467" s="39">
        <v>1</v>
      </c>
      <c r="J467" s="39"/>
      <c r="K467" s="39">
        <v>25000</v>
      </c>
      <c r="L467" s="361"/>
      <c r="M467" s="36">
        <f t="shared" si="51"/>
        <v>25000</v>
      </c>
      <c r="N467" s="23">
        <v>0</v>
      </c>
      <c r="O467" s="38">
        <f>L467+M467-N467</f>
        <v>25000</v>
      </c>
    </row>
    <row r="468" spans="1:15" ht="60" customHeight="1" thickBot="1" x14ac:dyDescent="0.55000000000000004">
      <c r="A468" s="17"/>
      <c r="B468" s="355"/>
      <c r="C468" s="358"/>
      <c r="D468" s="59" t="s">
        <v>42</v>
      </c>
      <c r="E468" s="56"/>
      <c r="F468" s="286"/>
      <c r="G468" s="56"/>
      <c r="H468" s="286"/>
      <c r="I468" s="55">
        <v>0</v>
      </c>
      <c r="J468" s="55"/>
      <c r="K468" s="55">
        <v>0</v>
      </c>
      <c r="L468" s="361"/>
      <c r="M468" s="36">
        <f t="shared" si="51"/>
        <v>0</v>
      </c>
      <c r="N468" s="58"/>
      <c r="O468" s="38">
        <f>L468+M468-N468</f>
        <v>0</v>
      </c>
    </row>
    <row r="469" spans="1:15" ht="60" customHeight="1" thickBot="1" x14ac:dyDescent="0.55000000000000004">
      <c r="A469" s="17"/>
      <c r="B469" s="355"/>
      <c r="C469" s="358"/>
      <c r="D469" s="52" t="s">
        <v>85</v>
      </c>
      <c r="E469" s="35"/>
      <c r="F469" s="286"/>
      <c r="G469" s="35"/>
      <c r="H469" s="286"/>
      <c r="I469" s="55">
        <v>1</v>
      </c>
      <c r="J469" s="34"/>
      <c r="K469" s="34">
        <v>2000</v>
      </c>
      <c r="L469" s="361"/>
      <c r="M469" s="36">
        <f t="shared" si="51"/>
        <v>2000</v>
      </c>
      <c r="N469" s="37"/>
      <c r="O469" s="38">
        <f>L469+M469-N469</f>
        <v>2000</v>
      </c>
    </row>
    <row r="470" spans="1:15" ht="60" customHeight="1" thickBot="1" x14ac:dyDescent="0.55000000000000004">
      <c r="A470" s="17"/>
      <c r="B470" s="355"/>
      <c r="C470" s="358"/>
      <c r="D470" s="59" t="s">
        <v>14</v>
      </c>
      <c r="E470" s="56"/>
      <c r="F470" s="286"/>
      <c r="G470" s="56"/>
      <c r="H470" s="286"/>
      <c r="I470" s="55"/>
      <c r="J470" s="55"/>
      <c r="K470" s="55"/>
      <c r="L470" s="362"/>
      <c r="M470" s="36">
        <f t="shared" si="51"/>
        <v>0</v>
      </c>
      <c r="N470" s="58"/>
      <c r="O470" s="38">
        <f>L465</f>
        <v>3137.85</v>
      </c>
    </row>
    <row r="471" spans="1:15" ht="60" customHeight="1" thickBot="1" x14ac:dyDescent="0.55000000000000004">
      <c r="A471" s="17"/>
      <c r="B471" s="356"/>
      <c r="C471" s="359"/>
      <c r="D471" s="41" t="s">
        <v>38</v>
      </c>
      <c r="E471" s="42"/>
      <c r="F471" s="286"/>
      <c r="G471" s="42"/>
      <c r="H471" s="286"/>
      <c r="I471" s="43"/>
      <c r="J471" s="43"/>
      <c r="K471" s="43"/>
      <c r="L471" s="44"/>
      <c r="M471" s="44"/>
      <c r="N471" s="45"/>
      <c r="O471" s="46">
        <f>SUM(O465:O470)</f>
        <v>121106.61000000007</v>
      </c>
    </row>
    <row r="472" spans="1:15" ht="60" customHeight="1" thickBot="1" x14ac:dyDescent="0.55000000000000004">
      <c r="A472" s="22"/>
      <c r="B472" s="276"/>
      <c r="C472" s="278"/>
      <c r="D472" s="60"/>
      <c r="E472" s="61"/>
      <c r="F472" s="286"/>
      <c r="G472" s="61"/>
      <c r="H472" s="286"/>
      <c r="I472" s="60"/>
      <c r="J472" s="60"/>
      <c r="K472" s="60"/>
      <c r="L472" s="62"/>
      <c r="M472" s="62"/>
      <c r="N472" s="63"/>
      <c r="O472" s="64"/>
    </row>
    <row r="473" spans="1:15" ht="60" customHeight="1" thickBot="1" x14ac:dyDescent="0.35">
      <c r="A473" s="8" t="s">
        <v>3</v>
      </c>
      <c r="B473" s="9" t="s">
        <v>0</v>
      </c>
      <c r="C473" s="11" t="s">
        <v>1</v>
      </c>
      <c r="D473" s="32" t="s">
        <v>34</v>
      </c>
      <c r="E473" s="11" t="s">
        <v>198</v>
      </c>
      <c r="F473" s="286" t="s">
        <v>199</v>
      </c>
      <c r="G473" s="11" t="s">
        <v>197</v>
      </c>
      <c r="H473" s="286" t="s">
        <v>184</v>
      </c>
      <c r="I473" s="10" t="s">
        <v>2</v>
      </c>
      <c r="J473" s="10" t="s">
        <v>39</v>
      </c>
      <c r="K473" s="11" t="s">
        <v>40</v>
      </c>
      <c r="L473" s="13" t="s">
        <v>14</v>
      </c>
      <c r="M473" s="14" t="s">
        <v>15</v>
      </c>
      <c r="N473" s="15" t="s">
        <v>11</v>
      </c>
      <c r="O473" s="16" t="s">
        <v>76</v>
      </c>
    </row>
    <row r="474" spans="1:15" ht="60" customHeight="1" thickBot="1" x14ac:dyDescent="0.55000000000000004">
      <c r="A474" s="17">
        <v>1</v>
      </c>
      <c r="B474" s="363" t="s">
        <v>192</v>
      </c>
      <c r="C474" s="357">
        <v>1103</v>
      </c>
      <c r="D474" s="52" t="s">
        <v>35</v>
      </c>
      <c r="E474" s="262">
        <v>1748.11</v>
      </c>
      <c r="F474" s="286">
        <v>46163</v>
      </c>
      <c r="G474" s="262">
        <v>1753.01</v>
      </c>
      <c r="H474" s="286">
        <v>46197</v>
      </c>
      <c r="I474" s="34">
        <f>G474-E474</f>
        <v>4.9000000000000909</v>
      </c>
      <c r="J474" s="34"/>
      <c r="K474" s="34">
        <v>257</v>
      </c>
      <c r="L474" s="360">
        <v>298.43</v>
      </c>
      <c r="M474" s="36">
        <f>I474*K474+J474</f>
        <v>1259.3000000000234</v>
      </c>
      <c r="N474" s="37">
        <v>0</v>
      </c>
      <c r="O474" s="38">
        <f>M474-N474</f>
        <v>1259.3000000000234</v>
      </c>
    </row>
    <row r="475" spans="1:15" ht="40.5" customHeight="1" thickBot="1" x14ac:dyDescent="0.55000000000000004">
      <c r="A475" s="17"/>
      <c r="B475" s="364"/>
      <c r="C475" s="358"/>
      <c r="D475" s="21" t="s">
        <v>36</v>
      </c>
      <c r="E475" s="261">
        <v>347</v>
      </c>
      <c r="F475" s="286">
        <v>46163</v>
      </c>
      <c r="G475" s="261">
        <v>347</v>
      </c>
      <c r="H475" s="286">
        <v>46197</v>
      </c>
      <c r="I475" s="34">
        <f>G475-E475</f>
        <v>0</v>
      </c>
      <c r="J475" s="34">
        <v>0</v>
      </c>
      <c r="K475" s="20">
        <v>1200</v>
      </c>
      <c r="L475" s="361"/>
      <c r="M475" s="36">
        <f>I475*K475+J475</f>
        <v>0</v>
      </c>
      <c r="N475" s="19">
        <v>0</v>
      </c>
      <c r="O475" s="38">
        <f>L475+M475-N475</f>
        <v>0</v>
      </c>
    </row>
    <row r="476" spans="1:15" ht="40.5" customHeight="1" thickBot="1" x14ac:dyDescent="0.55000000000000004">
      <c r="A476" s="17"/>
      <c r="B476" s="364"/>
      <c r="C476" s="358"/>
      <c r="D476" s="53" t="s">
        <v>37</v>
      </c>
      <c r="E476" s="40">
        <v>0</v>
      </c>
      <c r="F476" s="286">
        <v>46163</v>
      </c>
      <c r="G476" s="40">
        <v>0</v>
      </c>
      <c r="H476" s="286">
        <v>46197</v>
      </c>
      <c r="I476" s="39">
        <v>1</v>
      </c>
      <c r="J476" s="39"/>
      <c r="K476" s="39">
        <v>15000</v>
      </c>
      <c r="L476" s="361"/>
      <c r="M476" s="36">
        <f>K476</f>
        <v>15000</v>
      </c>
      <c r="N476" s="23">
        <v>0</v>
      </c>
      <c r="O476" s="38">
        <f>L476+M476-N476</f>
        <v>15000</v>
      </c>
    </row>
    <row r="477" spans="1:15" ht="32.25" customHeight="1" thickBot="1" x14ac:dyDescent="0.55000000000000004">
      <c r="A477" s="17"/>
      <c r="B477" s="364"/>
      <c r="C477" s="358"/>
      <c r="D477" s="59" t="s">
        <v>42</v>
      </c>
      <c r="E477" s="56"/>
      <c r="F477" s="286"/>
      <c r="G477" s="56"/>
      <c r="H477" s="286"/>
      <c r="I477" s="55">
        <v>0</v>
      </c>
      <c r="J477" s="55"/>
      <c r="K477" s="55">
        <v>0</v>
      </c>
      <c r="L477" s="361"/>
      <c r="M477" s="36">
        <f>I477*K477+J477</f>
        <v>0</v>
      </c>
      <c r="N477" s="58"/>
      <c r="O477" s="38">
        <f>L477+M477-N477</f>
        <v>0</v>
      </c>
    </row>
    <row r="478" spans="1:15" ht="32.25" customHeight="1" thickBot="1" x14ac:dyDescent="0.55000000000000004">
      <c r="A478" s="17"/>
      <c r="B478" s="364"/>
      <c r="C478" s="358"/>
      <c r="D478" s="52" t="s">
        <v>85</v>
      </c>
      <c r="E478" s="35"/>
      <c r="F478" s="286"/>
      <c r="G478" s="35"/>
      <c r="H478" s="286"/>
      <c r="I478" s="55">
        <v>0</v>
      </c>
      <c r="J478" s="34"/>
      <c r="K478" s="34">
        <v>2000</v>
      </c>
      <c r="L478" s="361"/>
      <c r="M478" s="36">
        <f>I478*K478+J478</f>
        <v>0</v>
      </c>
      <c r="N478" s="37"/>
      <c r="O478" s="38">
        <f>L478+M478-N478</f>
        <v>0</v>
      </c>
    </row>
    <row r="479" spans="1:15" ht="25.5" customHeight="1" thickBot="1" x14ac:dyDescent="0.55000000000000004">
      <c r="A479" s="17"/>
      <c r="B479" s="364"/>
      <c r="C479" s="358"/>
      <c r="D479" s="59" t="s">
        <v>14</v>
      </c>
      <c r="E479" s="56"/>
      <c r="F479" s="286"/>
      <c r="G479" s="56"/>
      <c r="H479" s="286"/>
      <c r="I479" s="55"/>
      <c r="J479" s="55"/>
      <c r="K479" s="55"/>
      <c r="L479" s="362"/>
      <c r="M479" s="36">
        <f>I479*K479+J479</f>
        <v>0</v>
      </c>
      <c r="N479" s="58"/>
      <c r="O479" s="38">
        <f>L474</f>
        <v>298.43</v>
      </c>
    </row>
    <row r="480" spans="1:15" ht="60" customHeight="1" thickBot="1" x14ac:dyDescent="0.55000000000000004">
      <c r="A480" s="17"/>
      <c r="B480" s="365"/>
      <c r="C480" s="359"/>
      <c r="D480" s="41" t="s">
        <v>38</v>
      </c>
      <c r="E480" s="42"/>
      <c r="F480" s="286"/>
      <c r="G480" s="42"/>
      <c r="H480" s="286"/>
      <c r="I480" s="43"/>
      <c r="J480" s="43"/>
      <c r="K480" s="43"/>
      <c r="L480" s="44"/>
      <c r="M480" s="44"/>
      <c r="N480" s="45"/>
      <c r="O480" s="46">
        <f>SUM(O474:O479)</f>
        <v>16557.730000000021</v>
      </c>
    </row>
    <row r="481" spans="1:15" ht="60" customHeight="1" thickBot="1" x14ac:dyDescent="0.35">
      <c r="F481" s="286"/>
      <c r="H481" s="286"/>
    </row>
    <row r="482" spans="1:15" ht="60" customHeight="1" thickBot="1" x14ac:dyDescent="0.35">
      <c r="A482" s="8" t="s">
        <v>3</v>
      </c>
      <c r="B482" s="9" t="s">
        <v>0</v>
      </c>
      <c r="C482" s="11" t="s">
        <v>1</v>
      </c>
      <c r="D482" s="32" t="s">
        <v>34</v>
      </c>
      <c r="E482" s="11" t="s">
        <v>198</v>
      </c>
      <c r="F482" s="286" t="s">
        <v>199</v>
      </c>
      <c r="G482" s="11" t="s">
        <v>197</v>
      </c>
      <c r="H482" s="286" t="s">
        <v>184</v>
      </c>
      <c r="I482" s="10" t="s">
        <v>2</v>
      </c>
      <c r="J482" s="10" t="s">
        <v>39</v>
      </c>
      <c r="K482" s="11" t="s">
        <v>40</v>
      </c>
      <c r="L482" s="13" t="s">
        <v>14</v>
      </c>
      <c r="M482" s="14" t="s">
        <v>15</v>
      </c>
      <c r="N482" s="15" t="s">
        <v>11</v>
      </c>
      <c r="O482" s="16" t="s">
        <v>76</v>
      </c>
    </row>
    <row r="483" spans="1:15" ht="60" customHeight="1" thickBot="1" x14ac:dyDescent="0.55000000000000004">
      <c r="A483" s="17">
        <v>1</v>
      </c>
      <c r="B483" s="363" t="s">
        <v>65</v>
      </c>
      <c r="C483" s="357">
        <v>1104</v>
      </c>
      <c r="D483" s="52" t="s">
        <v>35</v>
      </c>
      <c r="E483" s="262">
        <v>763.48</v>
      </c>
      <c r="F483" s="286">
        <v>46163</v>
      </c>
      <c r="G483" s="262">
        <v>765.14</v>
      </c>
      <c r="H483" s="286">
        <v>46197</v>
      </c>
      <c r="I483" s="34">
        <f>G483-E483</f>
        <v>1.6599999999999682</v>
      </c>
      <c r="J483" s="34"/>
      <c r="K483" s="34">
        <v>257</v>
      </c>
      <c r="L483" s="360">
        <v>96303.21</v>
      </c>
      <c r="M483" s="36">
        <f t="shared" ref="M483:M488" si="52">I483*K483+J483</f>
        <v>426.61999999999182</v>
      </c>
      <c r="N483" s="37">
        <v>0</v>
      </c>
      <c r="O483" s="38">
        <f>M483-N483</f>
        <v>426.61999999999182</v>
      </c>
    </row>
    <row r="484" spans="1:15" ht="60" customHeight="1" thickBot="1" x14ac:dyDescent="0.55000000000000004">
      <c r="A484" s="17"/>
      <c r="B484" s="364"/>
      <c r="C484" s="358"/>
      <c r="D484" s="21" t="s">
        <v>36</v>
      </c>
      <c r="E484" s="261">
        <v>38</v>
      </c>
      <c r="F484" s="286">
        <v>46163</v>
      </c>
      <c r="G484" s="261">
        <v>56</v>
      </c>
      <c r="H484" s="286">
        <v>46197</v>
      </c>
      <c r="I484" s="34">
        <f>G484-E484</f>
        <v>18</v>
      </c>
      <c r="J484" s="34">
        <v>1000</v>
      </c>
      <c r="K484" s="20">
        <v>1200</v>
      </c>
      <c r="L484" s="361"/>
      <c r="M484" s="36">
        <f t="shared" si="52"/>
        <v>22600</v>
      </c>
      <c r="N484" s="19">
        <v>0</v>
      </c>
      <c r="O484" s="38">
        <f>L484+M484-N484</f>
        <v>22600</v>
      </c>
    </row>
    <row r="485" spans="1:15" ht="60" customHeight="1" thickBot="1" x14ac:dyDescent="0.55000000000000004">
      <c r="A485" s="17"/>
      <c r="B485" s="364"/>
      <c r="C485" s="358"/>
      <c r="D485" s="53" t="s">
        <v>37</v>
      </c>
      <c r="E485" s="40">
        <v>0</v>
      </c>
      <c r="F485" s="286">
        <v>46163</v>
      </c>
      <c r="G485" s="40">
        <v>0</v>
      </c>
      <c r="H485" s="286">
        <v>46197</v>
      </c>
      <c r="I485" s="39">
        <v>1</v>
      </c>
      <c r="J485" s="39"/>
      <c r="K485" s="39">
        <v>25000</v>
      </c>
      <c r="L485" s="361"/>
      <c r="M485" s="36">
        <f t="shared" si="52"/>
        <v>25000</v>
      </c>
      <c r="N485" s="23">
        <v>0</v>
      </c>
      <c r="O485" s="38">
        <f>L485+M485-N485</f>
        <v>25000</v>
      </c>
    </row>
    <row r="486" spans="1:15" ht="60" customHeight="1" thickBot="1" x14ac:dyDescent="0.55000000000000004">
      <c r="A486" s="17"/>
      <c r="B486" s="364"/>
      <c r="C486" s="358"/>
      <c r="D486" s="59" t="s">
        <v>42</v>
      </c>
      <c r="E486" s="56"/>
      <c r="F486" s="286"/>
      <c r="G486" s="56"/>
      <c r="H486" s="286"/>
      <c r="I486" s="55">
        <v>0</v>
      </c>
      <c r="J486" s="55"/>
      <c r="K486" s="55">
        <v>0</v>
      </c>
      <c r="L486" s="361"/>
      <c r="M486" s="36">
        <f t="shared" si="52"/>
        <v>0</v>
      </c>
      <c r="N486" s="58"/>
      <c r="O486" s="38">
        <f>L486+M486-N486</f>
        <v>0</v>
      </c>
    </row>
    <row r="487" spans="1:15" ht="60" customHeight="1" thickBot="1" x14ac:dyDescent="0.55000000000000004">
      <c r="A487" s="17"/>
      <c r="B487" s="364"/>
      <c r="C487" s="358"/>
      <c r="D487" s="52" t="s">
        <v>85</v>
      </c>
      <c r="E487" s="35"/>
      <c r="F487" s="286"/>
      <c r="G487" s="35"/>
      <c r="H487" s="286"/>
      <c r="I487" s="55">
        <v>1</v>
      </c>
      <c r="J487" s="34"/>
      <c r="K487" s="34">
        <v>2000</v>
      </c>
      <c r="L487" s="361"/>
      <c r="M487" s="36">
        <f t="shared" si="52"/>
        <v>2000</v>
      </c>
      <c r="N487" s="37"/>
      <c r="O487" s="38">
        <f>L487+M487-N487</f>
        <v>2000</v>
      </c>
    </row>
    <row r="488" spans="1:15" ht="60" customHeight="1" thickBot="1" x14ac:dyDescent="0.55000000000000004">
      <c r="A488" s="17"/>
      <c r="B488" s="364"/>
      <c r="C488" s="358"/>
      <c r="D488" s="59" t="s">
        <v>14</v>
      </c>
      <c r="E488" s="56"/>
      <c r="F488" s="286"/>
      <c r="G488" s="56"/>
      <c r="H488" s="286"/>
      <c r="I488" s="55"/>
      <c r="J488" s="55"/>
      <c r="K488" s="55"/>
      <c r="L488" s="362"/>
      <c r="M488" s="36">
        <f t="shared" si="52"/>
        <v>0</v>
      </c>
      <c r="N488" s="58"/>
      <c r="O488" s="38">
        <f>L483</f>
        <v>96303.21</v>
      </c>
    </row>
    <row r="489" spans="1:15" ht="60" customHeight="1" thickBot="1" x14ac:dyDescent="0.55000000000000004">
      <c r="A489" s="17"/>
      <c r="B489" s="365"/>
      <c r="C489" s="359"/>
      <c r="D489" s="41" t="s">
        <v>38</v>
      </c>
      <c r="E489" s="42"/>
      <c r="F489" s="286"/>
      <c r="G489" s="42"/>
      <c r="H489" s="286"/>
      <c r="I489" s="43"/>
      <c r="J489" s="43"/>
      <c r="K489" s="43"/>
      <c r="L489" s="44"/>
      <c r="M489" s="44"/>
      <c r="N489" s="45"/>
      <c r="O489" s="46">
        <f>SUM(O483:O488)</f>
        <v>146329.83000000002</v>
      </c>
    </row>
    <row r="490" spans="1:15" ht="39" customHeight="1" thickBot="1" x14ac:dyDescent="0.55000000000000004">
      <c r="A490" s="22"/>
      <c r="B490" s="279"/>
      <c r="C490" s="278"/>
      <c r="D490" s="60"/>
      <c r="E490" s="61"/>
      <c r="F490" s="286"/>
      <c r="G490" s="61"/>
      <c r="H490" s="286"/>
      <c r="I490" s="60"/>
      <c r="J490" s="60"/>
      <c r="K490" s="60"/>
      <c r="L490" s="62"/>
      <c r="M490" s="62"/>
      <c r="N490" s="63"/>
      <c r="O490" s="64"/>
    </row>
    <row r="491" spans="1:15" ht="60" customHeight="1" thickBot="1" x14ac:dyDescent="0.35">
      <c r="A491" s="8" t="s">
        <v>3</v>
      </c>
      <c r="B491" s="9" t="s">
        <v>0</v>
      </c>
      <c r="C491" s="11" t="s">
        <v>1</v>
      </c>
      <c r="D491" s="32" t="s">
        <v>34</v>
      </c>
      <c r="E491" s="11" t="s">
        <v>198</v>
      </c>
      <c r="F491" s="286" t="s">
        <v>199</v>
      </c>
      <c r="G491" s="11" t="s">
        <v>197</v>
      </c>
      <c r="H491" s="286" t="s">
        <v>184</v>
      </c>
      <c r="I491" s="10" t="s">
        <v>2</v>
      </c>
      <c r="J491" s="10" t="s">
        <v>39</v>
      </c>
      <c r="K491" s="11" t="s">
        <v>40</v>
      </c>
      <c r="L491" s="13" t="s">
        <v>14</v>
      </c>
      <c r="M491" s="14" t="s">
        <v>15</v>
      </c>
      <c r="N491" s="15" t="s">
        <v>11</v>
      </c>
      <c r="O491" s="16" t="s">
        <v>76</v>
      </c>
    </row>
    <row r="492" spans="1:15" ht="60" customHeight="1" thickBot="1" x14ac:dyDescent="0.55000000000000004">
      <c r="A492" s="17">
        <v>1</v>
      </c>
      <c r="B492" s="354" t="s">
        <v>66</v>
      </c>
      <c r="C492" s="357">
        <v>1105</v>
      </c>
      <c r="D492" s="34" t="s">
        <v>35</v>
      </c>
      <c r="E492" s="262">
        <v>6493.49</v>
      </c>
      <c r="F492" s="286">
        <v>46163</v>
      </c>
      <c r="G492" s="262">
        <v>6636.96</v>
      </c>
      <c r="H492" s="286">
        <v>46197</v>
      </c>
      <c r="I492" s="34">
        <f>G492-E492</f>
        <v>143.47000000000025</v>
      </c>
      <c r="J492" s="34"/>
      <c r="K492" s="34">
        <v>257</v>
      </c>
      <c r="L492" s="360">
        <v>1721.01</v>
      </c>
      <c r="M492" s="36">
        <f t="shared" ref="M492:M497" si="53">I492*K492+J492</f>
        <v>36871.790000000066</v>
      </c>
      <c r="N492" s="37">
        <v>0</v>
      </c>
      <c r="O492" s="38">
        <f>M492-N492</f>
        <v>36871.790000000066</v>
      </c>
    </row>
    <row r="493" spans="1:15" ht="60" customHeight="1" thickBot="1" x14ac:dyDescent="0.55000000000000004">
      <c r="A493" s="17"/>
      <c r="B493" s="355"/>
      <c r="C493" s="358"/>
      <c r="D493" s="21" t="s">
        <v>36</v>
      </c>
      <c r="E493" s="261">
        <v>796</v>
      </c>
      <c r="F493" s="286">
        <v>46163</v>
      </c>
      <c r="G493" s="261">
        <v>801</v>
      </c>
      <c r="H493" s="286">
        <v>46197</v>
      </c>
      <c r="I493" s="34">
        <f>G493-E493</f>
        <v>5</v>
      </c>
      <c r="J493" s="34">
        <v>1000</v>
      </c>
      <c r="K493" s="20">
        <v>1200</v>
      </c>
      <c r="L493" s="361"/>
      <c r="M493" s="36">
        <f t="shared" si="53"/>
        <v>7000</v>
      </c>
      <c r="N493" s="19">
        <v>0</v>
      </c>
      <c r="O493" s="38">
        <f>L493+M493-N493</f>
        <v>7000</v>
      </c>
    </row>
    <row r="494" spans="1:15" ht="60" customHeight="1" thickBot="1" x14ac:dyDescent="0.55000000000000004">
      <c r="A494" s="17"/>
      <c r="B494" s="355"/>
      <c r="C494" s="358"/>
      <c r="D494" s="53" t="s">
        <v>37</v>
      </c>
      <c r="E494" s="40">
        <v>0</v>
      </c>
      <c r="F494" s="286">
        <v>46163</v>
      </c>
      <c r="G494" s="40">
        <v>0</v>
      </c>
      <c r="H494" s="286">
        <v>46197</v>
      </c>
      <c r="I494" s="39">
        <v>1</v>
      </c>
      <c r="J494" s="39"/>
      <c r="K494" s="39">
        <v>25000</v>
      </c>
      <c r="L494" s="361"/>
      <c r="M494" s="36">
        <f t="shared" si="53"/>
        <v>25000</v>
      </c>
      <c r="N494" s="23">
        <v>0</v>
      </c>
      <c r="O494" s="38">
        <f>L494+M494-N494</f>
        <v>25000</v>
      </c>
    </row>
    <row r="495" spans="1:15" ht="60" customHeight="1" thickBot="1" x14ac:dyDescent="0.55000000000000004">
      <c r="A495" s="17"/>
      <c r="B495" s="355"/>
      <c r="C495" s="358"/>
      <c r="D495" s="59" t="s">
        <v>42</v>
      </c>
      <c r="E495" s="56"/>
      <c r="F495" s="286"/>
      <c r="G495" s="56"/>
      <c r="H495" s="286"/>
      <c r="I495" s="55">
        <v>0</v>
      </c>
      <c r="J495" s="55"/>
      <c r="K495" s="55">
        <v>0</v>
      </c>
      <c r="L495" s="361"/>
      <c r="M495" s="36">
        <f t="shared" si="53"/>
        <v>0</v>
      </c>
      <c r="N495" s="58"/>
      <c r="O495" s="38">
        <f>L495+M495-N495</f>
        <v>0</v>
      </c>
    </row>
    <row r="496" spans="1:15" ht="60" customHeight="1" thickBot="1" x14ac:dyDescent="0.55000000000000004">
      <c r="A496" s="17"/>
      <c r="B496" s="355"/>
      <c r="C496" s="358"/>
      <c r="D496" s="52" t="s">
        <v>85</v>
      </c>
      <c r="E496" s="35"/>
      <c r="F496" s="286"/>
      <c r="G496" s="35"/>
      <c r="H496" s="286"/>
      <c r="I496" s="55">
        <v>1</v>
      </c>
      <c r="J496" s="34"/>
      <c r="K496" s="34">
        <v>2000</v>
      </c>
      <c r="L496" s="361"/>
      <c r="M496" s="36">
        <f t="shared" si="53"/>
        <v>2000</v>
      </c>
      <c r="N496" s="37"/>
      <c r="O496" s="38">
        <f>L496+M496-N496</f>
        <v>2000</v>
      </c>
    </row>
    <row r="497" spans="1:15" ht="60" customHeight="1" thickBot="1" x14ac:dyDescent="0.55000000000000004">
      <c r="A497" s="17"/>
      <c r="B497" s="355"/>
      <c r="C497" s="358"/>
      <c r="D497" s="59" t="s">
        <v>14</v>
      </c>
      <c r="E497" s="56"/>
      <c r="F497" s="286"/>
      <c r="G497" s="56"/>
      <c r="H497" s="286"/>
      <c r="I497" s="55"/>
      <c r="J497" s="55"/>
      <c r="K497" s="55"/>
      <c r="L497" s="362"/>
      <c r="M497" s="36">
        <f t="shared" si="53"/>
        <v>0</v>
      </c>
      <c r="N497" s="58"/>
      <c r="O497" s="38">
        <f>L492</f>
        <v>1721.01</v>
      </c>
    </row>
    <row r="498" spans="1:15" ht="60" customHeight="1" thickBot="1" x14ac:dyDescent="0.55000000000000004">
      <c r="A498" s="17"/>
      <c r="B498" s="356"/>
      <c r="C498" s="359"/>
      <c r="D498" s="41" t="s">
        <v>38</v>
      </c>
      <c r="E498" s="42"/>
      <c r="F498" s="286"/>
      <c r="G498" s="42"/>
      <c r="H498" s="286"/>
      <c r="I498" s="43"/>
      <c r="J498" s="43"/>
      <c r="K498" s="43"/>
      <c r="L498" s="44"/>
      <c r="M498" s="44"/>
      <c r="N498" s="45"/>
      <c r="O498" s="46">
        <f>SUM(O492:O497)</f>
        <v>72592.800000000061</v>
      </c>
    </row>
    <row r="499" spans="1:15" ht="60" customHeight="1" thickBot="1" x14ac:dyDescent="0.35">
      <c r="F499" s="286"/>
      <c r="H499" s="286"/>
    </row>
    <row r="500" spans="1:15" ht="24.75" customHeight="1" thickBot="1" x14ac:dyDescent="0.35">
      <c r="F500" s="286"/>
      <c r="H500" s="286"/>
    </row>
    <row r="501" spans="1:15" ht="60" customHeight="1" thickBot="1" x14ac:dyDescent="0.35">
      <c r="A501" s="8" t="s">
        <v>3</v>
      </c>
      <c r="B501" s="9" t="s">
        <v>0</v>
      </c>
      <c r="C501" s="11" t="s">
        <v>1</v>
      </c>
      <c r="D501" s="32" t="s">
        <v>34</v>
      </c>
      <c r="E501" s="11" t="s">
        <v>198</v>
      </c>
      <c r="F501" s="286" t="s">
        <v>199</v>
      </c>
      <c r="G501" s="11" t="s">
        <v>197</v>
      </c>
      <c r="H501" s="286" t="s">
        <v>184</v>
      </c>
      <c r="I501" s="10" t="s">
        <v>2</v>
      </c>
      <c r="J501" s="10" t="s">
        <v>39</v>
      </c>
      <c r="K501" s="11" t="s">
        <v>40</v>
      </c>
      <c r="L501" s="13" t="s">
        <v>14</v>
      </c>
      <c r="M501" s="14" t="s">
        <v>15</v>
      </c>
      <c r="N501" s="15" t="s">
        <v>11</v>
      </c>
      <c r="O501" s="16" t="s">
        <v>76</v>
      </c>
    </row>
    <row r="502" spans="1:15" ht="60" customHeight="1" thickBot="1" x14ac:dyDescent="0.55000000000000004">
      <c r="A502" s="17">
        <v>1</v>
      </c>
      <c r="B502" s="354" t="s">
        <v>67</v>
      </c>
      <c r="C502" s="357">
        <v>1201</v>
      </c>
      <c r="D502" s="34" t="s">
        <v>35</v>
      </c>
      <c r="E502" s="262">
        <v>1127.76</v>
      </c>
      <c r="F502" s="286">
        <v>46163</v>
      </c>
      <c r="G502" s="262">
        <v>1258.52</v>
      </c>
      <c r="H502" s="286">
        <v>46197</v>
      </c>
      <c r="I502" s="34">
        <f>G502-E502</f>
        <v>130.76</v>
      </c>
      <c r="J502" s="34"/>
      <c r="K502" s="34">
        <v>257</v>
      </c>
      <c r="L502" s="360">
        <v>463805.12</v>
      </c>
      <c r="M502" s="36">
        <f t="shared" ref="M502:M507" si="54">I502*K502+J502</f>
        <v>33605.32</v>
      </c>
      <c r="N502" s="37">
        <v>0</v>
      </c>
      <c r="O502" s="38">
        <f>M502-N502</f>
        <v>33605.32</v>
      </c>
    </row>
    <row r="503" spans="1:15" ht="60" customHeight="1" thickBot="1" x14ac:dyDescent="0.55000000000000004">
      <c r="A503" s="17"/>
      <c r="B503" s="355"/>
      <c r="C503" s="358"/>
      <c r="D503" s="21" t="s">
        <v>36</v>
      </c>
      <c r="E503" s="261">
        <v>86</v>
      </c>
      <c r="F503" s="286">
        <v>46163</v>
      </c>
      <c r="G503" s="261">
        <v>91</v>
      </c>
      <c r="H503" s="286">
        <v>46197</v>
      </c>
      <c r="I503" s="34">
        <f>G503-E503</f>
        <v>5</v>
      </c>
      <c r="J503" s="34">
        <v>1000</v>
      </c>
      <c r="K503" s="20">
        <v>1200</v>
      </c>
      <c r="L503" s="361"/>
      <c r="M503" s="36">
        <f t="shared" si="54"/>
        <v>7000</v>
      </c>
      <c r="N503" s="19">
        <v>0</v>
      </c>
      <c r="O503" s="38">
        <f>L503+M503-N503</f>
        <v>7000</v>
      </c>
    </row>
    <row r="504" spans="1:15" ht="28.5" customHeight="1" thickBot="1" x14ac:dyDescent="0.55000000000000004">
      <c r="A504" s="17"/>
      <c r="B504" s="355"/>
      <c r="C504" s="358"/>
      <c r="D504" s="53" t="s">
        <v>37</v>
      </c>
      <c r="E504" s="40">
        <v>0</v>
      </c>
      <c r="F504" s="286">
        <v>46163</v>
      </c>
      <c r="G504" s="40">
        <v>0</v>
      </c>
      <c r="H504" s="286">
        <v>46197</v>
      </c>
      <c r="I504" s="39">
        <v>1</v>
      </c>
      <c r="J504" s="39"/>
      <c r="K504" s="39">
        <v>25000</v>
      </c>
      <c r="L504" s="361"/>
      <c r="M504" s="36">
        <f t="shared" si="54"/>
        <v>25000</v>
      </c>
      <c r="N504" s="23">
        <v>0</v>
      </c>
      <c r="O504" s="38">
        <f>L504+M504-N504</f>
        <v>25000</v>
      </c>
    </row>
    <row r="505" spans="1:15" ht="32.25" customHeight="1" thickBot="1" x14ac:dyDescent="0.55000000000000004">
      <c r="A505" s="17"/>
      <c r="B505" s="355"/>
      <c r="C505" s="358"/>
      <c r="D505" s="59" t="s">
        <v>42</v>
      </c>
      <c r="E505" s="56"/>
      <c r="F505" s="286"/>
      <c r="G505" s="56"/>
      <c r="H505" s="286"/>
      <c r="I505" s="55">
        <v>0</v>
      </c>
      <c r="J505" s="55"/>
      <c r="K505" s="55"/>
      <c r="L505" s="361"/>
      <c r="M505" s="36">
        <f t="shared" si="54"/>
        <v>0</v>
      </c>
      <c r="N505" s="58"/>
      <c r="O505" s="38">
        <f>L505+M505-N505</f>
        <v>0</v>
      </c>
    </row>
    <row r="506" spans="1:15" ht="44.25" customHeight="1" thickBot="1" x14ac:dyDescent="0.55000000000000004">
      <c r="A506" s="17"/>
      <c r="B506" s="355"/>
      <c r="C506" s="358"/>
      <c r="D506" s="52" t="s">
        <v>85</v>
      </c>
      <c r="E506" s="35"/>
      <c r="F506" s="286"/>
      <c r="G506" s="35"/>
      <c r="H506" s="286"/>
      <c r="I506" s="55">
        <v>1</v>
      </c>
      <c r="J506" s="34"/>
      <c r="K506" s="34">
        <v>2000</v>
      </c>
      <c r="L506" s="361"/>
      <c r="M506" s="36">
        <f t="shared" si="54"/>
        <v>2000</v>
      </c>
      <c r="N506" s="37"/>
      <c r="O506" s="38">
        <f>L506+M506-N506</f>
        <v>2000</v>
      </c>
    </row>
    <row r="507" spans="1:15" ht="35.25" customHeight="1" thickBot="1" x14ac:dyDescent="0.55000000000000004">
      <c r="A507" s="17"/>
      <c r="B507" s="355"/>
      <c r="C507" s="358"/>
      <c r="D507" s="59" t="s">
        <v>14</v>
      </c>
      <c r="E507" s="56"/>
      <c r="F507" s="286"/>
      <c r="G507" s="56"/>
      <c r="H507" s="286"/>
      <c r="I507" s="55"/>
      <c r="J507" s="55"/>
      <c r="K507" s="55"/>
      <c r="L507" s="362"/>
      <c r="M507" s="36">
        <f t="shared" si="54"/>
        <v>0</v>
      </c>
      <c r="N507" s="58"/>
      <c r="O507" s="38">
        <f>L502</f>
        <v>463805.12</v>
      </c>
    </row>
    <row r="508" spans="1:15" ht="60" customHeight="1" thickBot="1" x14ac:dyDescent="0.55000000000000004">
      <c r="A508" s="17"/>
      <c r="B508" s="356"/>
      <c r="C508" s="359"/>
      <c r="D508" s="41" t="s">
        <v>38</v>
      </c>
      <c r="E508" s="42"/>
      <c r="F508" s="286"/>
      <c r="G508" s="42"/>
      <c r="H508" s="286"/>
      <c r="I508" s="43"/>
      <c r="J508" s="43"/>
      <c r="K508" s="43"/>
      <c r="L508" s="44"/>
      <c r="M508" s="44"/>
      <c r="N508" s="45"/>
      <c r="O508" s="46">
        <f>SUM(O502:O507)</f>
        <v>531410.43999999994</v>
      </c>
    </row>
    <row r="509" spans="1:15" ht="60" customHeight="1" thickBot="1" x14ac:dyDescent="0.55000000000000004">
      <c r="A509" s="47"/>
      <c r="B509" s="33"/>
      <c r="C509" s="277"/>
      <c r="D509" s="18"/>
      <c r="E509" s="48"/>
      <c r="F509" s="286"/>
      <c r="G509" s="48"/>
      <c r="H509" s="286"/>
      <c r="I509" s="7"/>
      <c r="J509" s="7"/>
      <c r="K509" s="7"/>
      <c r="L509" s="49"/>
      <c r="M509" s="49"/>
      <c r="N509" s="50"/>
      <c r="O509" s="51"/>
    </row>
    <row r="510" spans="1:15" ht="60" customHeight="1" thickBot="1" x14ac:dyDescent="0.35">
      <c r="A510" s="20"/>
      <c r="B510" s="24"/>
      <c r="C510" s="25"/>
      <c r="D510" s="24"/>
      <c r="E510" s="25"/>
      <c r="F510" s="286"/>
      <c r="G510" s="25"/>
      <c r="H510" s="286"/>
      <c r="I510" s="24"/>
      <c r="J510" s="25"/>
      <c r="K510" s="25"/>
      <c r="L510" s="25"/>
      <c r="M510" s="26"/>
      <c r="N510" s="27"/>
      <c r="O510" s="28"/>
    </row>
    <row r="511" spans="1:15" ht="60" customHeight="1" thickBot="1" x14ac:dyDescent="0.35">
      <c r="A511" s="8" t="s">
        <v>3</v>
      </c>
      <c r="B511" s="9" t="s">
        <v>0</v>
      </c>
      <c r="C511" s="11" t="s">
        <v>1</v>
      </c>
      <c r="D511" s="32" t="s">
        <v>34</v>
      </c>
      <c r="E511" s="11" t="s">
        <v>198</v>
      </c>
      <c r="F511" s="286" t="s">
        <v>199</v>
      </c>
      <c r="G511" s="11" t="s">
        <v>197</v>
      </c>
      <c r="H511" s="286" t="s">
        <v>184</v>
      </c>
      <c r="I511" s="10" t="s">
        <v>2</v>
      </c>
      <c r="J511" s="10" t="s">
        <v>39</v>
      </c>
      <c r="K511" s="11" t="s">
        <v>40</v>
      </c>
      <c r="L511" s="13" t="s">
        <v>14</v>
      </c>
      <c r="M511" s="14" t="s">
        <v>15</v>
      </c>
      <c r="N511" s="15" t="s">
        <v>11</v>
      </c>
      <c r="O511" s="16" t="s">
        <v>76</v>
      </c>
    </row>
    <row r="512" spans="1:15" ht="60" customHeight="1" thickBot="1" x14ac:dyDescent="0.55000000000000004">
      <c r="A512" s="17">
        <v>1</v>
      </c>
      <c r="B512" s="378" t="s">
        <v>68</v>
      </c>
      <c r="C512" s="357">
        <v>1202</v>
      </c>
      <c r="D512" s="34" t="s">
        <v>35</v>
      </c>
      <c r="E512" s="262">
        <v>143.99</v>
      </c>
      <c r="F512" s="286">
        <v>46163</v>
      </c>
      <c r="G512" s="262">
        <v>143.99</v>
      </c>
      <c r="H512" s="286">
        <v>46197</v>
      </c>
      <c r="I512" s="34">
        <f>G512-E512</f>
        <v>0</v>
      </c>
      <c r="J512" s="34"/>
      <c r="K512" s="34">
        <v>257</v>
      </c>
      <c r="L512" s="360">
        <v>420414.34</v>
      </c>
      <c r="M512" s="36">
        <f t="shared" ref="M512:M517" si="55">I512*K512+J512</f>
        <v>0</v>
      </c>
      <c r="N512" s="37">
        <v>0</v>
      </c>
      <c r="O512" s="38">
        <f>M512-N512</f>
        <v>0</v>
      </c>
    </row>
    <row r="513" spans="1:15" ht="60" customHeight="1" thickBot="1" x14ac:dyDescent="0.55000000000000004">
      <c r="A513" s="17"/>
      <c r="B513" s="379"/>
      <c r="C513" s="358"/>
      <c r="D513" s="21" t="s">
        <v>36</v>
      </c>
      <c r="E513" s="261">
        <v>4</v>
      </c>
      <c r="F513" s="286">
        <v>46163</v>
      </c>
      <c r="G513" s="261">
        <v>4</v>
      </c>
      <c r="H513" s="286">
        <v>46197</v>
      </c>
      <c r="I513" s="34">
        <f>G513-E513</f>
        <v>0</v>
      </c>
      <c r="J513" s="34">
        <v>0</v>
      </c>
      <c r="K513" s="20">
        <v>1200</v>
      </c>
      <c r="L513" s="361"/>
      <c r="M513" s="36">
        <f t="shared" si="55"/>
        <v>0</v>
      </c>
      <c r="N513" s="19">
        <v>0</v>
      </c>
      <c r="O513" s="38">
        <f>L513+M513-N513</f>
        <v>0</v>
      </c>
    </row>
    <row r="514" spans="1:15" ht="60" customHeight="1" thickBot="1" x14ac:dyDescent="0.55000000000000004">
      <c r="A514" s="17"/>
      <c r="B514" s="379"/>
      <c r="C514" s="358"/>
      <c r="D514" s="53" t="s">
        <v>37</v>
      </c>
      <c r="E514" s="40"/>
      <c r="F514" s="286">
        <v>46163</v>
      </c>
      <c r="G514" s="40"/>
      <c r="H514" s="286">
        <v>46197</v>
      </c>
      <c r="I514" s="39">
        <v>1</v>
      </c>
      <c r="J514" s="39"/>
      <c r="K514" s="39">
        <v>15000</v>
      </c>
      <c r="L514" s="361"/>
      <c r="M514" s="36">
        <f t="shared" si="55"/>
        <v>15000</v>
      </c>
      <c r="N514" s="23">
        <v>0</v>
      </c>
      <c r="O514" s="38">
        <f>L514+M514-N514</f>
        <v>15000</v>
      </c>
    </row>
    <row r="515" spans="1:15" ht="60" customHeight="1" thickBot="1" x14ac:dyDescent="0.55000000000000004">
      <c r="A515" s="17"/>
      <c r="B515" s="379"/>
      <c r="C515" s="358"/>
      <c r="D515" s="59" t="s">
        <v>42</v>
      </c>
      <c r="E515" s="56"/>
      <c r="F515" s="286"/>
      <c r="G515" s="56"/>
      <c r="H515" s="286"/>
      <c r="I515" s="55">
        <v>0</v>
      </c>
      <c r="J515" s="55"/>
      <c r="K515" s="55"/>
      <c r="L515" s="361"/>
      <c r="M515" s="36">
        <f t="shared" si="55"/>
        <v>0</v>
      </c>
      <c r="N515" s="58"/>
      <c r="O515" s="38">
        <f>L515+M515-N515</f>
        <v>0</v>
      </c>
    </row>
    <row r="516" spans="1:15" ht="60" customHeight="1" thickBot="1" x14ac:dyDescent="0.55000000000000004">
      <c r="A516" s="17"/>
      <c r="B516" s="379"/>
      <c r="C516" s="358"/>
      <c r="D516" s="52" t="s">
        <v>85</v>
      </c>
      <c r="E516" s="35"/>
      <c r="F516" s="286"/>
      <c r="G516" s="35"/>
      <c r="H516" s="286"/>
      <c r="I516" s="55">
        <v>0</v>
      </c>
      <c r="J516" s="34"/>
      <c r="K516" s="34">
        <v>2000</v>
      </c>
      <c r="L516" s="361"/>
      <c r="M516" s="36">
        <f t="shared" si="55"/>
        <v>0</v>
      </c>
      <c r="N516" s="37"/>
      <c r="O516" s="38">
        <f>L516+M516-N516</f>
        <v>0</v>
      </c>
    </row>
    <row r="517" spans="1:15" ht="60" customHeight="1" thickBot="1" x14ac:dyDescent="0.55000000000000004">
      <c r="A517" s="54"/>
      <c r="B517" s="379"/>
      <c r="C517" s="358"/>
      <c r="D517" s="59" t="s">
        <v>14</v>
      </c>
      <c r="E517" s="56"/>
      <c r="F517" s="286"/>
      <c r="G517" s="56"/>
      <c r="H517" s="286"/>
      <c r="I517" s="55"/>
      <c r="J517" s="55"/>
      <c r="K517" s="55"/>
      <c r="L517" s="362"/>
      <c r="M517" s="36">
        <f t="shared" si="55"/>
        <v>0</v>
      </c>
      <c r="N517" s="58"/>
      <c r="O517" s="38">
        <f>L512</f>
        <v>420414.34</v>
      </c>
    </row>
    <row r="518" spans="1:15" ht="60" customHeight="1" thickBot="1" x14ac:dyDescent="0.55000000000000004">
      <c r="A518" s="17"/>
      <c r="B518" s="380"/>
      <c r="C518" s="381"/>
      <c r="D518" s="41" t="s">
        <v>38</v>
      </c>
      <c r="E518" s="42"/>
      <c r="F518" s="286"/>
      <c r="G518" s="42"/>
      <c r="H518" s="286"/>
      <c r="I518" s="43"/>
      <c r="J518" s="43"/>
      <c r="K518" s="43"/>
      <c r="L518" s="44"/>
      <c r="M518" s="44"/>
      <c r="N518" s="45"/>
      <c r="O518" s="46">
        <f>SUM(O512:O517)</f>
        <v>435414.34</v>
      </c>
    </row>
    <row r="519" spans="1:15" ht="27" customHeight="1" thickBot="1" x14ac:dyDescent="0.55000000000000004">
      <c r="A519" s="17"/>
      <c r="B519" s="54"/>
      <c r="C519" s="54"/>
      <c r="D519" s="59"/>
      <c r="E519" s="56"/>
      <c r="F519" s="286"/>
      <c r="G519" s="56"/>
      <c r="H519" s="286"/>
      <c r="I519" s="55"/>
      <c r="J519" s="55"/>
      <c r="K519" s="55"/>
      <c r="L519" s="57"/>
      <c r="M519" s="57"/>
      <c r="N519" s="58"/>
      <c r="O519" s="38">
        <f>L519+M519-N519</f>
        <v>0</v>
      </c>
    </row>
    <row r="520" spans="1:15" ht="60" customHeight="1" thickBot="1" x14ac:dyDescent="0.35">
      <c r="A520" s="8" t="s">
        <v>3</v>
      </c>
      <c r="B520" s="9" t="s">
        <v>0</v>
      </c>
      <c r="C520" s="11" t="s">
        <v>1</v>
      </c>
      <c r="D520" s="32" t="s">
        <v>34</v>
      </c>
      <c r="E520" s="11" t="s">
        <v>198</v>
      </c>
      <c r="F520" s="286" t="s">
        <v>199</v>
      </c>
      <c r="G520" s="11" t="s">
        <v>197</v>
      </c>
      <c r="H520" s="286" t="s">
        <v>184</v>
      </c>
      <c r="I520" s="10" t="s">
        <v>2</v>
      </c>
      <c r="J520" s="10" t="s">
        <v>39</v>
      </c>
      <c r="K520" s="11" t="s">
        <v>40</v>
      </c>
      <c r="L520" s="13" t="s">
        <v>14</v>
      </c>
      <c r="M520" s="14" t="s">
        <v>15</v>
      </c>
      <c r="N520" s="15" t="s">
        <v>11</v>
      </c>
      <c r="O520" s="16" t="s">
        <v>76</v>
      </c>
    </row>
    <row r="521" spans="1:15" ht="60" customHeight="1" thickBot="1" x14ac:dyDescent="0.55000000000000004">
      <c r="A521" s="17">
        <v>1</v>
      </c>
      <c r="B521" s="354" t="s">
        <v>69</v>
      </c>
      <c r="C521" s="357">
        <v>1203</v>
      </c>
      <c r="D521" s="34" t="s">
        <v>35</v>
      </c>
      <c r="E521" s="262">
        <v>16689.919999999998</v>
      </c>
      <c r="F521" s="286">
        <v>46163</v>
      </c>
      <c r="G521" s="262">
        <v>17042.96</v>
      </c>
      <c r="H521" s="286">
        <v>46197</v>
      </c>
      <c r="I521" s="34">
        <f>G521-E521</f>
        <v>353.04000000000087</v>
      </c>
      <c r="J521" s="34"/>
      <c r="K521" s="34">
        <v>257</v>
      </c>
      <c r="L521" s="360">
        <v>-12.68</v>
      </c>
      <c r="M521" s="36">
        <f t="shared" ref="M521:M526" si="56">I521*K521+J521</f>
        <v>90731.280000000232</v>
      </c>
      <c r="N521" s="37"/>
      <c r="O521" s="38">
        <f>M521-N521</f>
        <v>90731.280000000232</v>
      </c>
    </row>
    <row r="522" spans="1:15" ht="60" customHeight="1" thickBot="1" x14ac:dyDescent="0.55000000000000004">
      <c r="A522" s="17"/>
      <c r="B522" s="355"/>
      <c r="C522" s="358"/>
      <c r="D522" s="21" t="s">
        <v>36</v>
      </c>
      <c r="E522" s="261">
        <v>1345</v>
      </c>
      <c r="F522" s="286">
        <v>46163</v>
      </c>
      <c r="G522" s="261">
        <v>1372</v>
      </c>
      <c r="H522" s="286">
        <v>46197</v>
      </c>
      <c r="I522" s="34">
        <f>G522-E522</f>
        <v>27</v>
      </c>
      <c r="J522" s="34">
        <v>1000</v>
      </c>
      <c r="K522" s="20">
        <v>1200</v>
      </c>
      <c r="L522" s="361"/>
      <c r="M522" s="36">
        <f t="shared" si="56"/>
        <v>33400</v>
      </c>
      <c r="N522" s="19"/>
      <c r="O522" s="38">
        <f>L522+M522-N522</f>
        <v>33400</v>
      </c>
    </row>
    <row r="523" spans="1:15" ht="60" customHeight="1" thickBot="1" x14ac:dyDescent="0.55000000000000004">
      <c r="A523" s="17"/>
      <c r="B523" s="355"/>
      <c r="C523" s="358"/>
      <c r="D523" s="53" t="s">
        <v>37</v>
      </c>
      <c r="E523" s="40">
        <v>0</v>
      </c>
      <c r="F523" s="286">
        <v>46163</v>
      </c>
      <c r="G523" s="40">
        <v>0</v>
      </c>
      <c r="H523" s="286">
        <v>46197</v>
      </c>
      <c r="I523" s="39">
        <v>1</v>
      </c>
      <c r="J523" s="39"/>
      <c r="K523" s="39">
        <v>25000</v>
      </c>
      <c r="L523" s="361"/>
      <c r="M523" s="36">
        <f t="shared" si="56"/>
        <v>25000</v>
      </c>
      <c r="N523" s="23"/>
      <c r="O523" s="38">
        <f>L523+M523-N523</f>
        <v>25000</v>
      </c>
    </row>
    <row r="524" spans="1:15" ht="60" customHeight="1" thickBot="1" x14ac:dyDescent="0.55000000000000004">
      <c r="A524" s="17"/>
      <c r="B524" s="355"/>
      <c r="C524" s="358"/>
      <c r="D524" s="59" t="s">
        <v>42</v>
      </c>
      <c r="E524" s="56"/>
      <c r="F524" s="286"/>
      <c r="G524" s="56"/>
      <c r="H524" s="286"/>
      <c r="I524" s="55"/>
      <c r="J524" s="55"/>
      <c r="K524" s="55">
        <v>0</v>
      </c>
      <c r="L524" s="361"/>
      <c r="M524" s="36">
        <f t="shared" si="56"/>
        <v>0</v>
      </c>
      <c r="N524" s="58"/>
      <c r="O524" s="38">
        <f>L524+M524-N524</f>
        <v>0</v>
      </c>
    </row>
    <row r="525" spans="1:15" ht="60" customHeight="1" thickBot="1" x14ac:dyDescent="0.55000000000000004">
      <c r="A525" s="17"/>
      <c r="B525" s="355"/>
      <c r="C525" s="358"/>
      <c r="D525" s="52" t="s">
        <v>85</v>
      </c>
      <c r="E525" s="35"/>
      <c r="F525" s="286"/>
      <c r="G525" s="35"/>
      <c r="H525" s="286"/>
      <c r="I525" s="55">
        <v>1</v>
      </c>
      <c r="J525" s="34"/>
      <c r="K525" s="34">
        <v>2000</v>
      </c>
      <c r="L525" s="361"/>
      <c r="M525" s="36">
        <f t="shared" si="56"/>
        <v>2000</v>
      </c>
      <c r="N525" s="37"/>
      <c r="O525" s="38">
        <f>L525+M525-N525</f>
        <v>2000</v>
      </c>
    </row>
    <row r="526" spans="1:15" ht="39" customHeight="1" thickBot="1" x14ac:dyDescent="0.55000000000000004">
      <c r="A526" s="17"/>
      <c r="B526" s="355"/>
      <c r="C526" s="358"/>
      <c r="D526" s="59" t="s">
        <v>14</v>
      </c>
      <c r="E526" s="56"/>
      <c r="F526" s="286"/>
      <c r="G526" s="56"/>
      <c r="H526" s="286"/>
      <c r="I526" s="55"/>
      <c r="J526" s="55"/>
      <c r="K526" s="55"/>
      <c r="L526" s="362"/>
      <c r="M526" s="36">
        <f t="shared" si="56"/>
        <v>0</v>
      </c>
      <c r="N526" s="58"/>
      <c r="O526" s="38">
        <f>L521</f>
        <v>-12.68</v>
      </c>
    </row>
    <row r="527" spans="1:15" ht="60" customHeight="1" thickBot="1" x14ac:dyDescent="0.55000000000000004">
      <c r="A527" s="17"/>
      <c r="B527" s="356"/>
      <c r="C527" s="359"/>
      <c r="D527" s="41" t="s">
        <v>38</v>
      </c>
      <c r="E527" s="42"/>
      <c r="F527" s="286"/>
      <c r="G527" s="42"/>
      <c r="H527" s="286"/>
      <c r="I527" s="43"/>
      <c r="J527" s="43"/>
      <c r="K527" s="43"/>
      <c r="L527" s="44"/>
      <c r="M527" s="44"/>
      <c r="N527" s="45"/>
      <c r="O527" s="46">
        <f>SUM(O521:O526)</f>
        <v>151118.60000000024</v>
      </c>
    </row>
    <row r="528" spans="1:15" ht="28.5" customHeight="1" thickBot="1" x14ac:dyDescent="0.55000000000000004">
      <c r="A528" s="47"/>
      <c r="B528" s="280"/>
      <c r="C528" s="277"/>
      <c r="D528" s="18"/>
      <c r="E528" s="48"/>
      <c r="F528" s="286"/>
      <c r="G528" s="48"/>
      <c r="H528" s="286"/>
      <c r="I528" s="7"/>
      <c r="J528" s="7"/>
      <c r="K528" s="7"/>
      <c r="L528" s="49"/>
      <c r="M528" s="49"/>
      <c r="N528" s="50"/>
      <c r="O528" s="51"/>
    </row>
    <row r="529" spans="1:15" ht="60" customHeight="1" thickBot="1" x14ac:dyDescent="0.35">
      <c r="A529" s="8" t="s">
        <v>3</v>
      </c>
      <c r="B529" s="9" t="s">
        <v>0</v>
      </c>
      <c r="C529" s="11" t="s">
        <v>1</v>
      </c>
      <c r="D529" s="32" t="s">
        <v>34</v>
      </c>
      <c r="E529" s="11" t="s">
        <v>198</v>
      </c>
      <c r="F529" s="286" t="s">
        <v>199</v>
      </c>
      <c r="G529" s="11" t="s">
        <v>197</v>
      </c>
      <c r="H529" s="286" t="s">
        <v>184</v>
      </c>
      <c r="I529" s="10" t="s">
        <v>2</v>
      </c>
      <c r="J529" s="10" t="s">
        <v>39</v>
      </c>
      <c r="K529" s="11" t="s">
        <v>40</v>
      </c>
      <c r="L529" s="13" t="s">
        <v>14</v>
      </c>
      <c r="M529" s="14" t="s">
        <v>15</v>
      </c>
      <c r="N529" s="15" t="s">
        <v>11</v>
      </c>
      <c r="O529" s="16" t="s">
        <v>76</v>
      </c>
    </row>
    <row r="530" spans="1:15" ht="60" customHeight="1" thickBot="1" x14ac:dyDescent="0.55000000000000004">
      <c r="A530" s="17">
        <v>1</v>
      </c>
      <c r="B530" s="354" t="s">
        <v>70</v>
      </c>
      <c r="C530" s="357">
        <v>1204</v>
      </c>
      <c r="D530" s="34" t="s">
        <v>35</v>
      </c>
      <c r="E530" s="262">
        <v>1566.68</v>
      </c>
      <c r="F530" s="286">
        <v>46163</v>
      </c>
      <c r="G530" s="262">
        <v>1566.68</v>
      </c>
      <c r="H530" s="286">
        <v>46197</v>
      </c>
      <c r="I530" s="34">
        <f>G530-E530</f>
        <v>0</v>
      </c>
      <c r="J530" s="34"/>
      <c r="K530" s="34">
        <v>257</v>
      </c>
      <c r="L530" s="360">
        <v>92161.56</v>
      </c>
      <c r="M530" s="36">
        <f t="shared" ref="M530:M535" si="57">I530*K530+J530</f>
        <v>0</v>
      </c>
      <c r="N530" s="37">
        <v>0</v>
      </c>
      <c r="O530" s="38">
        <f>M530-N530</f>
        <v>0</v>
      </c>
    </row>
    <row r="531" spans="1:15" ht="60" customHeight="1" thickBot="1" x14ac:dyDescent="0.55000000000000004">
      <c r="A531" s="17"/>
      <c r="B531" s="355"/>
      <c r="C531" s="358"/>
      <c r="D531" s="21" t="s">
        <v>36</v>
      </c>
      <c r="E531" s="261">
        <v>132</v>
      </c>
      <c r="F531" s="286">
        <v>46163</v>
      </c>
      <c r="G531" s="261">
        <v>132</v>
      </c>
      <c r="H531" s="286">
        <v>46197</v>
      </c>
      <c r="I531" s="34">
        <f>G531-E531</f>
        <v>0</v>
      </c>
      <c r="J531" s="34">
        <v>0</v>
      </c>
      <c r="K531" s="20">
        <v>1200</v>
      </c>
      <c r="L531" s="361"/>
      <c r="M531" s="36">
        <f t="shared" si="57"/>
        <v>0</v>
      </c>
      <c r="N531" s="19">
        <v>0</v>
      </c>
      <c r="O531" s="38">
        <f>L531+M531-N531</f>
        <v>0</v>
      </c>
    </row>
    <row r="532" spans="1:15" ht="60" customHeight="1" thickBot="1" x14ac:dyDescent="0.55000000000000004">
      <c r="A532" s="17"/>
      <c r="B532" s="355"/>
      <c r="C532" s="358"/>
      <c r="D532" s="53" t="s">
        <v>37</v>
      </c>
      <c r="E532" s="40">
        <v>0</v>
      </c>
      <c r="F532" s="286">
        <v>46163</v>
      </c>
      <c r="G532" s="40">
        <v>0</v>
      </c>
      <c r="H532" s="286">
        <v>46197</v>
      </c>
      <c r="I532" s="39">
        <v>1</v>
      </c>
      <c r="J532" s="39"/>
      <c r="K532" s="66">
        <v>15000</v>
      </c>
      <c r="L532" s="361"/>
      <c r="M532" s="36">
        <f t="shared" si="57"/>
        <v>15000</v>
      </c>
      <c r="N532" s="23">
        <v>0</v>
      </c>
      <c r="O532" s="38">
        <f>L532+M532-N532</f>
        <v>15000</v>
      </c>
    </row>
    <row r="533" spans="1:15" ht="40.5" customHeight="1" thickBot="1" x14ac:dyDescent="0.55000000000000004">
      <c r="A533" s="17"/>
      <c r="B533" s="355"/>
      <c r="C533" s="358"/>
      <c r="D533" s="59" t="s">
        <v>42</v>
      </c>
      <c r="E533" s="56"/>
      <c r="F533" s="286"/>
      <c r="G533" s="56"/>
      <c r="H533" s="286"/>
      <c r="I533" s="55"/>
      <c r="J533" s="55"/>
      <c r="K533" s="55">
        <v>0</v>
      </c>
      <c r="L533" s="361"/>
      <c r="M533" s="36">
        <f t="shared" si="57"/>
        <v>0</v>
      </c>
      <c r="N533" s="58"/>
      <c r="O533" s="38">
        <f>L533+M533-N533</f>
        <v>0</v>
      </c>
    </row>
    <row r="534" spans="1:15" ht="30" customHeight="1" thickBot="1" x14ac:dyDescent="0.55000000000000004">
      <c r="A534" s="17"/>
      <c r="B534" s="355"/>
      <c r="C534" s="358"/>
      <c r="D534" s="52" t="s">
        <v>85</v>
      </c>
      <c r="E534" s="35"/>
      <c r="F534" s="286"/>
      <c r="G534" s="35"/>
      <c r="H534" s="286"/>
      <c r="I534" s="55">
        <v>1</v>
      </c>
      <c r="J534" s="34"/>
      <c r="K534" s="34">
        <v>2000</v>
      </c>
      <c r="L534" s="361"/>
      <c r="M534" s="36">
        <f t="shared" si="57"/>
        <v>2000</v>
      </c>
      <c r="N534" s="37"/>
      <c r="O534" s="38">
        <f>L534+M534-N534</f>
        <v>2000</v>
      </c>
    </row>
    <row r="535" spans="1:15" ht="60" customHeight="1" thickBot="1" x14ac:dyDescent="0.55000000000000004">
      <c r="A535" s="17"/>
      <c r="B535" s="355"/>
      <c r="C535" s="358"/>
      <c r="D535" s="59" t="s">
        <v>14</v>
      </c>
      <c r="E535" s="56"/>
      <c r="F535" s="286"/>
      <c r="G535" s="56"/>
      <c r="H535" s="286"/>
      <c r="I535" s="55"/>
      <c r="J535" s="55"/>
      <c r="K535" s="55"/>
      <c r="L535" s="362"/>
      <c r="M535" s="36">
        <f t="shared" si="57"/>
        <v>0</v>
      </c>
      <c r="N535" s="58"/>
      <c r="O535" s="38">
        <f>L530</f>
        <v>92161.56</v>
      </c>
    </row>
    <row r="536" spans="1:15" ht="60" customHeight="1" thickBot="1" x14ac:dyDescent="0.55000000000000004">
      <c r="A536" s="17"/>
      <c r="B536" s="356"/>
      <c r="C536" s="359"/>
      <c r="D536" s="41" t="s">
        <v>38</v>
      </c>
      <c r="E536" s="42"/>
      <c r="F536" s="286"/>
      <c r="G536" s="42"/>
      <c r="H536" s="286"/>
      <c r="I536" s="43"/>
      <c r="J536" s="43"/>
      <c r="K536" s="43"/>
      <c r="L536" s="44"/>
      <c r="M536" s="44"/>
      <c r="N536" s="45"/>
      <c r="O536" s="46">
        <f>SUM(O530:O535)</f>
        <v>109161.56</v>
      </c>
    </row>
    <row r="537" spans="1:15" ht="30" customHeight="1" thickBot="1" x14ac:dyDescent="0.35">
      <c r="F537" s="286"/>
      <c r="H537" s="286"/>
    </row>
    <row r="538" spans="1:15" ht="23.25" customHeight="1" thickBot="1" x14ac:dyDescent="0.35">
      <c r="F538" s="286"/>
      <c r="H538" s="286"/>
    </row>
    <row r="539" spans="1:15" ht="60" customHeight="1" thickBot="1" x14ac:dyDescent="0.35">
      <c r="A539" s="8" t="s">
        <v>3</v>
      </c>
      <c r="B539" s="9" t="s">
        <v>0</v>
      </c>
      <c r="C539" s="11" t="s">
        <v>1</v>
      </c>
      <c r="D539" s="32" t="s">
        <v>34</v>
      </c>
      <c r="E539" s="11" t="s">
        <v>198</v>
      </c>
      <c r="F539" s="286" t="s">
        <v>199</v>
      </c>
      <c r="G539" s="11" t="s">
        <v>197</v>
      </c>
      <c r="H539" s="286" t="s">
        <v>184</v>
      </c>
      <c r="I539" s="10" t="s">
        <v>2</v>
      </c>
      <c r="J539" s="10" t="s">
        <v>39</v>
      </c>
      <c r="K539" s="11" t="s">
        <v>40</v>
      </c>
      <c r="L539" s="13" t="s">
        <v>14</v>
      </c>
      <c r="M539" s="14" t="s">
        <v>15</v>
      </c>
      <c r="N539" s="15" t="s">
        <v>11</v>
      </c>
      <c r="O539" s="16" t="s">
        <v>76</v>
      </c>
    </row>
    <row r="540" spans="1:15" ht="60" customHeight="1" thickBot="1" x14ac:dyDescent="0.55000000000000004">
      <c r="A540" s="17">
        <v>1</v>
      </c>
      <c r="B540" s="354" t="s">
        <v>87</v>
      </c>
      <c r="C540" s="357">
        <v>1205</v>
      </c>
      <c r="D540" s="34" t="s">
        <v>35</v>
      </c>
      <c r="E540" s="262">
        <v>93.93</v>
      </c>
      <c r="F540" s="286">
        <v>46163</v>
      </c>
      <c r="G540" s="262">
        <v>93.93</v>
      </c>
      <c r="H540" s="286">
        <v>46197</v>
      </c>
      <c r="I540" s="34">
        <f>G540-E540</f>
        <v>0</v>
      </c>
      <c r="J540" s="34"/>
      <c r="K540" s="34">
        <v>257</v>
      </c>
      <c r="L540" s="360">
        <v>165000</v>
      </c>
      <c r="M540" s="36">
        <f t="shared" ref="M540:M545" si="58">I540*K540+J540</f>
        <v>0</v>
      </c>
      <c r="N540" s="37">
        <v>0</v>
      </c>
      <c r="O540" s="38">
        <f>M540-N540</f>
        <v>0</v>
      </c>
    </row>
    <row r="541" spans="1:15" ht="60" customHeight="1" thickBot="1" x14ac:dyDescent="0.55000000000000004">
      <c r="A541" s="17"/>
      <c r="B541" s="355"/>
      <c r="C541" s="358"/>
      <c r="D541" s="21" t="s">
        <v>36</v>
      </c>
      <c r="E541" s="261">
        <v>28</v>
      </c>
      <c r="F541" s="286">
        <v>46163</v>
      </c>
      <c r="G541" s="261">
        <v>28</v>
      </c>
      <c r="H541" s="286">
        <v>46197</v>
      </c>
      <c r="I541" s="34">
        <f>G541-E541</f>
        <v>0</v>
      </c>
      <c r="J541" s="34">
        <v>0</v>
      </c>
      <c r="K541" s="20">
        <v>1200</v>
      </c>
      <c r="L541" s="361"/>
      <c r="M541" s="36">
        <f t="shared" si="58"/>
        <v>0</v>
      </c>
      <c r="N541" s="19">
        <v>0</v>
      </c>
      <c r="O541" s="38">
        <f>L541+M541-N541</f>
        <v>0</v>
      </c>
    </row>
    <row r="542" spans="1:15" ht="60" customHeight="1" thickBot="1" x14ac:dyDescent="0.55000000000000004">
      <c r="A542" s="17"/>
      <c r="B542" s="355"/>
      <c r="C542" s="358"/>
      <c r="D542" s="53" t="s">
        <v>37</v>
      </c>
      <c r="E542" s="40">
        <v>0</v>
      </c>
      <c r="F542" s="286">
        <v>46163</v>
      </c>
      <c r="G542" s="40">
        <v>0</v>
      </c>
      <c r="H542" s="286">
        <v>46197</v>
      </c>
      <c r="I542" s="39">
        <v>1</v>
      </c>
      <c r="J542" s="39"/>
      <c r="K542" s="39">
        <v>15000</v>
      </c>
      <c r="L542" s="361"/>
      <c r="M542" s="36">
        <f t="shared" si="58"/>
        <v>15000</v>
      </c>
      <c r="N542" s="23">
        <v>0</v>
      </c>
      <c r="O542" s="38">
        <f>L542+M542-N542</f>
        <v>15000</v>
      </c>
    </row>
    <row r="543" spans="1:15" ht="60" customHeight="1" thickBot="1" x14ac:dyDescent="0.55000000000000004">
      <c r="A543" s="17"/>
      <c r="B543" s="355"/>
      <c r="C543" s="358"/>
      <c r="D543" s="59" t="s">
        <v>42</v>
      </c>
      <c r="E543" s="56"/>
      <c r="F543" s="286"/>
      <c r="G543" s="56"/>
      <c r="H543" s="286"/>
      <c r="I543" s="55">
        <v>0</v>
      </c>
      <c r="J543" s="55"/>
      <c r="K543" s="55"/>
      <c r="L543" s="361"/>
      <c r="M543" s="36">
        <f t="shared" si="58"/>
        <v>0</v>
      </c>
      <c r="N543" s="58"/>
      <c r="O543" s="38">
        <f>L543+M543-N543</f>
        <v>0</v>
      </c>
    </row>
    <row r="544" spans="1:15" ht="60" customHeight="1" thickBot="1" x14ac:dyDescent="0.55000000000000004">
      <c r="A544" s="17"/>
      <c r="B544" s="355"/>
      <c r="C544" s="358"/>
      <c r="D544" s="52" t="s">
        <v>85</v>
      </c>
      <c r="E544" s="35"/>
      <c r="F544" s="286"/>
      <c r="G544" s="35"/>
      <c r="H544" s="286"/>
      <c r="I544" s="55">
        <v>0</v>
      </c>
      <c r="J544" s="34"/>
      <c r="K544" s="34">
        <v>2000</v>
      </c>
      <c r="L544" s="361"/>
      <c r="M544" s="36">
        <f t="shared" si="58"/>
        <v>0</v>
      </c>
      <c r="N544" s="37"/>
      <c r="O544" s="38">
        <f>L544+M544-N544</f>
        <v>0</v>
      </c>
    </row>
    <row r="545" spans="1:15" ht="60" customHeight="1" thickBot="1" x14ac:dyDescent="0.55000000000000004">
      <c r="A545" s="17"/>
      <c r="B545" s="355"/>
      <c r="C545" s="358"/>
      <c r="D545" s="59" t="s">
        <v>14</v>
      </c>
      <c r="E545" s="56"/>
      <c r="F545" s="286"/>
      <c r="G545" s="56"/>
      <c r="H545" s="286"/>
      <c r="I545" s="55"/>
      <c r="J545" s="55"/>
      <c r="K545" s="55"/>
      <c r="L545" s="362"/>
      <c r="M545" s="36">
        <f t="shared" si="58"/>
        <v>0</v>
      </c>
      <c r="N545" s="58"/>
      <c r="O545" s="38">
        <f>L540</f>
        <v>165000</v>
      </c>
    </row>
    <row r="546" spans="1:15" ht="60" customHeight="1" thickBot="1" x14ac:dyDescent="0.55000000000000004">
      <c r="A546" s="17"/>
      <c r="B546" s="356"/>
      <c r="C546" s="359"/>
      <c r="D546" s="41" t="s">
        <v>38</v>
      </c>
      <c r="E546" s="42"/>
      <c r="F546" s="286"/>
      <c r="G546" s="42"/>
      <c r="H546" s="286"/>
      <c r="I546" s="43"/>
      <c r="J546" s="43"/>
      <c r="K546" s="43"/>
      <c r="L546" s="44"/>
      <c r="M546" s="44"/>
      <c r="N546" s="45"/>
      <c r="O546" s="46">
        <f>SUM(O540:O545)</f>
        <v>180000</v>
      </c>
    </row>
    <row r="547" spans="1:15" ht="24.75" customHeight="1" thickBot="1" x14ac:dyDescent="0.55000000000000004">
      <c r="A547" s="22"/>
      <c r="B547" s="276"/>
      <c r="C547" s="278"/>
      <c r="D547" s="60"/>
      <c r="E547" s="61"/>
      <c r="F547" s="286"/>
      <c r="G547" s="61"/>
      <c r="H547" s="286"/>
      <c r="I547" s="60"/>
      <c r="J547" s="60"/>
      <c r="K547" s="60"/>
      <c r="L547" s="62"/>
      <c r="M547" s="62"/>
      <c r="N547" s="63"/>
      <c r="O547" s="64"/>
    </row>
    <row r="548" spans="1:15" ht="60" customHeight="1" thickBot="1" x14ac:dyDescent="0.35">
      <c r="A548" s="8" t="s">
        <v>3</v>
      </c>
      <c r="B548" s="9" t="s">
        <v>0</v>
      </c>
      <c r="C548" s="11" t="s">
        <v>1</v>
      </c>
      <c r="D548" s="32" t="s">
        <v>34</v>
      </c>
      <c r="E548" s="11" t="s">
        <v>198</v>
      </c>
      <c r="F548" s="286" t="s">
        <v>199</v>
      </c>
      <c r="G548" s="11" t="s">
        <v>197</v>
      </c>
      <c r="H548" s="286" t="s">
        <v>184</v>
      </c>
      <c r="I548" s="10" t="s">
        <v>2</v>
      </c>
      <c r="J548" s="10" t="s">
        <v>39</v>
      </c>
      <c r="K548" s="11" t="s">
        <v>40</v>
      </c>
      <c r="L548" s="13" t="s">
        <v>14</v>
      </c>
      <c r="M548" s="14" t="s">
        <v>15</v>
      </c>
      <c r="N548" s="15" t="s">
        <v>11</v>
      </c>
      <c r="O548" s="16" t="s">
        <v>76</v>
      </c>
    </row>
    <row r="549" spans="1:15" ht="60" customHeight="1" thickBot="1" x14ac:dyDescent="0.55000000000000004">
      <c r="A549" s="17">
        <v>1</v>
      </c>
      <c r="B549" s="354" t="s">
        <v>71</v>
      </c>
      <c r="C549" s="357">
        <v>1301</v>
      </c>
      <c r="D549" s="52" t="s">
        <v>35</v>
      </c>
      <c r="E549" s="262">
        <v>1956.65</v>
      </c>
      <c r="F549" s="286">
        <v>46163</v>
      </c>
      <c r="G549" s="262">
        <v>2035.05</v>
      </c>
      <c r="H549" s="286">
        <v>46197</v>
      </c>
      <c r="I549" s="34">
        <f>G549-E549</f>
        <v>78.399999999999864</v>
      </c>
      <c r="J549" s="34"/>
      <c r="K549" s="34">
        <v>257</v>
      </c>
      <c r="L549" s="360">
        <v>202617.13</v>
      </c>
      <c r="M549" s="36">
        <f>I549*K549</f>
        <v>20148.799999999967</v>
      </c>
      <c r="N549" s="37">
        <v>0</v>
      </c>
      <c r="O549" s="38">
        <f>M549-N549</f>
        <v>20148.799999999967</v>
      </c>
    </row>
    <row r="550" spans="1:15" ht="60" customHeight="1" thickBot="1" x14ac:dyDescent="0.55000000000000004">
      <c r="A550" s="17"/>
      <c r="B550" s="355"/>
      <c r="C550" s="358"/>
      <c r="D550" s="21" t="s">
        <v>36</v>
      </c>
      <c r="E550" s="261">
        <v>204</v>
      </c>
      <c r="F550" s="286">
        <v>46163</v>
      </c>
      <c r="G550" s="261">
        <v>211</v>
      </c>
      <c r="H550" s="286">
        <v>46197</v>
      </c>
      <c r="I550" s="34">
        <f>G550-E550</f>
        <v>7</v>
      </c>
      <c r="J550" s="34">
        <v>1000</v>
      </c>
      <c r="K550" s="20">
        <v>1200</v>
      </c>
      <c r="L550" s="361"/>
      <c r="M550" s="36">
        <f>I550*K550+J550</f>
        <v>9400</v>
      </c>
      <c r="N550" s="19">
        <v>0</v>
      </c>
      <c r="O550" s="38">
        <f>L550+M550-N550</f>
        <v>9400</v>
      </c>
    </row>
    <row r="551" spans="1:15" ht="60" customHeight="1" thickBot="1" x14ac:dyDescent="0.55000000000000004">
      <c r="A551" s="17"/>
      <c r="B551" s="355"/>
      <c r="C551" s="358"/>
      <c r="D551" s="53" t="s">
        <v>37</v>
      </c>
      <c r="E551" s="40">
        <v>0</v>
      </c>
      <c r="F551" s="286">
        <v>46163</v>
      </c>
      <c r="G551" s="40">
        <v>0</v>
      </c>
      <c r="H551" s="286">
        <v>46197</v>
      </c>
      <c r="I551" s="39">
        <v>1</v>
      </c>
      <c r="J551" s="39"/>
      <c r="K551" s="39">
        <v>25000</v>
      </c>
      <c r="L551" s="361"/>
      <c r="M551" s="36">
        <f>I551*K551+J551</f>
        <v>25000</v>
      </c>
      <c r="N551" s="23">
        <v>0</v>
      </c>
      <c r="O551" s="38">
        <f>L551+M551-N551</f>
        <v>25000</v>
      </c>
    </row>
    <row r="552" spans="1:15" ht="60" customHeight="1" thickBot="1" x14ac:dyDescent="0.55000000000000004">
      <c r="A552" s="17"/>
      <c r="B552" s="355"/>
      <c r="C552" s="358"/>
      <c r="D552" s="59" t="s">
        <v>42</v>
      </c>
      <c r="E552" s="56"/>
      <c r="F552" s="286"/>
      <c r="G552" s="56"/>
      <c r="H552" s="286"/>
      <c r="I552" s="55">
        <v>0</v>
      </c>
      <c r="J552" s="55"/>
      <c r="K552" s="55"/>
      <c r="L552" s="361"/>
      <c r="M552" s="36">
        <f>I552*K552+J552</f>
        <v>0</v>
      </c>
      <c r="N552" s="58"/>
      <c r="O552" s="38">
        <f>L552+M552-N552</f>
        <v>0</v>
      </c>
    </row>
    <row r="553" spans="1:15" ht="60" customHeight="1" thickBot="1" x14ac:dyDescent="0.55000000000000004">
      <c r="A553" s="17"/>
      <c r="B553" s="355"/>
      <c r="C553" s="358"/>
      <c r="D553" s="52" t="s">
        <v>85</v>
      </c>
      <c r="E553" s="35"/>
      <c r="F553" s="286"/>
      <c r="G553" s="35"/>
      <c r="H553" s="286"/>
      <c r="I553" s="55">
        <v>1</v>
      </c>
      <c r="J553" s="34"/>
      <c r="K553" s="34">
        <v>2000</v>
      </c>
      <c r="L553" s="361"/>
      <c r="M553" s="36">
        <f>I553*K553+J553</f>
        <v>2000</v>
      </c>
      <c r="N553" s="37"/>
      <c r="O553" s="38">
        <f>L553+M553-N553</f>
        <v>2000</v>
      </c>
    </row>
    <row r="554" spans="1:15" ht="60" customHeight="1" thickBot="1" x14ac:dyDescent="0.55000000000000004">
      <c r="A554" s="17"/>
      <c r="B554" s="355"/>
      <c r="C554" s="358"/>
      <c r="D554" s="59" t="s">
        <v>14</v>
      </c>
      <c r="E554" s="56"/>
      <c r="F554" s="286"/>
      <c r="G554" s="56"/>
      <c r="H554" s="286"/>
      <c r="I554" s="55"/>
      <c r="J554" s="55"/>
      <c r="K554" s="55"/>
      <c r="L554" s="362"/>
      <c r="M554" s="36">
        <f>I554*K554+J554</f>
        <v>0</v>
      </c>
      <c r="N554" s="58"/>
      <c r="O554" s="38">
        <f>L549</f>
        <v>202617.13</v>
      </c>
    </row>
    <row r="555" spans="1:15" ht="60" customHeight="1" thickBot="1" x14ac:dyDescent="0.55000000000000004">
      <c r="A555" s="17"/>
      <c r="B555" s="356"/>
      <c r="C555" s="359"/>
      <c r="D555" s="41" t="s">
        <v>38</v>
      </c>
      <c r="E555" s="42"/>
      <c r="F555" s="286"/>
      <c r="G555" s="42"/>
      <c r="H555" s="286"/>
      <c r="I555" s="43"/>
      <c r="J555" s="43"/>
      <c r="K555" s="43"/>
      <c r="L555" s="44"/>
      <c r="M555" s="44"/>
      <c r="N555" s="45"/>
      <c r="O555" s="46">
        <f>SUM(O549:O554)</f>
        <v>259165.92999999996</v>
      </c>
    </row>
    <row r="556" spans="1:15" ht="19.5" customHeight="1" thickBot="1" x14ac:dyDescent="0.35">
      <c r="F556" s="286"/>
      <c r="H556" s="286"/>
    </row>
    <row r="557" spans="1:15" ht="28.5" customHeight="1" thickBot="1" x14ac:dyDescent="0.35">
      <c r="F557" s="286"/>
      <c r="H557" s="286"/>
    </row>
    <row r="558" spans="1:15" ht="60" customHeight="1" thickBot="1" x14ac:dyDescent="0.35">
      <c r="A558" s="8" t="s">
        <v>3</v>
      </c>
      <c r="B558" s="9" t="s">
        <v>0</v>
      </c>
      <c r="C558" s="11" t="s">
        <v>1</v>
      </c>
      <c r="D558" s="32" t="s">
        <v>34</v>
      </c>
      <c r="E558" s="11" t="s">
        <v>198</v>
      </c>
      <c r="F558" s="286" t="s">
        <v>199</v>
      </c>
      <c r="G558" s="11" t="s">
        <v>197</v>
      </c>
      <c r="H558" s="286" t="s">
        <v>184</v>
      </c>
      <c r="I558" s="10" t="s">
        <v>2</v>
      </c>
      <c r="J558" s="10" t="s">
        <v>39</v>
      </c>
      <c r="K558" s="11" t="s">
        <v>40</v>
      </c>
      <c r="L558" s="13" t="s">
        <v>14</v>
      </c>
      <c r="M558" s="14" t="s">
        <v>15</v>
      </c>
      <c r="N558" s="15" t="s">
        <v>11</v>
      </c>
      <c r="O558" s="16" t="s">
        <v>76</v>
      </c>
    </row>
    <row r="559" spans="1:15" ht="60" customHeight="1" thickBot="1" x14ac:dyDescent="0.55000000000000004">
      <c r="A559" s="17">
        <v>1</v>
      </c>
      <c r="B559" s="363" t="s">
        <v>72</v>
      </c>
      <c r="C559" s="357">
        <v>1302</v>
      </c>
      <c r="D559" s="34" t="s">
        <v>35</v>
      </c>
      <c r="E559" s="262">
        <v>2102.08</v>
      </c>
      <c r="F559" s="286">
        <v>46163</v>
      </c>
      <c r="G559" s="262">
        <v>2293.0100000000002</v>
      </c>
      <c r="H559" s="286">
        <v>46197</v>
      </c>
      <c r="I559" s="34">
        <f>G559-E559</f>
        <v>190.93000000000029</v>
      </c>
      <c r="J559" s="34"/>
      <c r="K559" s="34">
        <v>257</v>
      </c>
      <c r="L559" s="360">
        <v>238239.11</v>
      </c>
      <c r="M559" s="36">
        <f t="shared" ref="M559:M564" si="59">I559*K559+J559</f>
        <v>49069.010000000075</v>
      </c>
      <c r="N559" s="37">
        <v>0</v>
      </c>
      <c r="O559" s="38">
        <f>M559-N559</f>
        <v>49069.010000000075</v>
      </c>
    </row>
    <row r="560" spans="1:15" ht="60" customHeight="1" thickBot="1" x14ac:dyDescent="0.55000000000000004">
      <c r="A560" s="17"/>
      <c r="B560" s="364"/>
      <c r="C560" s="358"/>
      <c r="D560" s="21" t="s">
        <v>36</v>
      </c>
      <c r="E560" s="261">
        <v>131</v>
      </c>
      <c r="F560" s="286">
        <v>46163</v>
      </c>
      <c r="G560" s="261">
        <v>135</v>
      </c>
      <c r="H560" s="286">
        <v>46197</v>
      </c>
      <c r="I560" s="34">
        <f>G560-E560</f>
        <v>4</v>
      </c>
      <c r="J560" s="34">
        <v>1000</v>
      </c>
      <c r="K560" s="20">
        <v>1200</v>
      </c>
      <c r="L560" s="361"/>
      <c r="M560" s="36">
        <f t="shared" si="59"/>
        <v>5800</v>
      </c>
      <c r="N560" s="19">
        <v>0</v>
      </c>
      <c r="O560" s="38">
        <f>L560+M560-N560</f>
        <v>5800</v>
      </c>
    </row>
    <row r="561" spans="1:15" ht="60" customHeight="1" thickBot="1" x14ac:dyDescent="0.55000000000000004">
      <c r="A561" s="17"/>
      <c r="B561" s="364"/>
      <c r="C561" s="358"/>
      <c r="D561" s="53" t="s">
        <v>37</v>
      </c>
      <c r="E561" s="40">
        <v>0</v>
      </c>
      <c r="F561" s="286">
        <v>46163</v>
      </c>
      <c r="G561" s="40">
        <v>0</v>
      </c>
      <c r="H561" s="286">
        <v>46197</v>
      </c>
      <c r="I561" s="39">
        <v>1</v>
      </c>
      <c r="J561" s="39"/>
      <c r="K561" s="39">
        <v>25000</v>
      </c>
      <c r="L561" s="361"/>
      <c r="M561" s="36">
        <f t="shared" si="59"/>
        <v>25000</v>
      </c>
      <c r="N561" s="23">
        <v>0</v>
      </c>
      <c r="O561" s="38">
        <f>L561+M561-N561</f>
        <v>25000</v>
      </c>
    </row>
    <row r="562" spans="1:15" ht="23.25" customHeight="1" thickBot="1" x14ac:dyDescent="0.55000000000000004">
      <c r="A562" s="17"/>
      <c r="B562" s="364"/>
      <c r="C562" s="358"/>
      <c r="D562" s="59" t="s">
        <v>42</v>
      </c>
      <c r="E562" s="56"/>
      <c r="F562" s="286"/>
      <c r="G562" s="56"/>
      <c r="H562" s="286"/>
      <c r="I562" s="55">
        <v>0</v>
      </c>
      <c r="J562" s="55"/>
      <c r="K562" s="55">
        <v>0</v>
      </c>
      <c r="L562" s="361"/>
      <c r="M562" s="36">
        <f t="shared" si="59"/>
        <v>0</v>
      </c>
      <c r="N562" s="58"/>
      <c r="O562" s="38">
        <f>L562+M562-N562</f>
        <v>0</v>
      </c>
    </row>
    <row r="563" spans="1:15" ht="60" customHeight="1" thickBot="1" x14ac:dyDescent="0.55000000000000004">
      <c r="A563" s="17"/>
      <c r="B563" s="364"/>
      <c r="C563" s="358"/>
      <c r="D563" s="52" t="s">
        <v>85</v>
      </c>
      <c r="E563" s="35"/>
      <c r="F563" s="286"/>
      <c r="G563" s="35"/>
      <c r="H563" s="286"/>
      <c r="I563" s="55">
        <v>1</v>
      </c>
      <c r="J563" s="34"/>
      <c r="K563" s="34">
        <v>2000</v>
      </c>
      <c r="L563" s="361"/>
      <c r="M563" s="36">
        <f t="shared" si="59"/>
        <v>2000</v>
      </c>
      <c r="N563" s="37"/>
      <c r="O563" s="38">
        <f>L563+M563-N563</f>
        <v>2000</v>
      </c>
    </row>
    <row r="564" spans="1:15" ht="60" customHeight="1" thickBot="1" x14ac:dyDescent="0.55000000000000004">
      <c r="A564" s="17"/>
      <c r="B564" s="364"/>
      <c r="C564" s="358"/>
      <c r="D564" s="59" t="s">
        <v>14</v>
      </c>
      <c r="E564" s="56"/>
      <c r="F564" s="286"/>
      <c r="G564" s="56"/>
      <c r="H564" s="286"/>
      <c r="I564" s="55"/>
      <c r="J564" s="55"/>
      <c r="K564" s="55"/>
      <c r="L564" s="362"/>
      <c r="M564" s="36">
        <f t="shared" si="59"/>
        <v>0</v>
      </c>
      <c r="N564" s="58"/>
      <c r="O564" s="38">
        <f>L559</f>
        <v>238239.11</v>
      </c>
    </row>
    <row r="565" spans="1:15" ht="60" customHeight="1" thickBot="1" x14ac:dyDescent="0.55000000000000004">
      <c r="A565" s="17"/>
      <c r="B565" s="365"/>
      <c r="C565" s="359"/>
      <c r="D565" s="41" t="s">
        <v>38</v>
      </c>
      <c r="E565" s="42"/>
      <c r="F565" s="286"/>
      <c r="G565" s="42"/>
      <c r="H565" s="286"/>
      <c r="I565" s="43"/>
      <c r="J565" s="43"/>
      <c r="K565" s="43"/>
      <c r="L565" s="44"/>
      <c r="M565" s="44"/>
      <c r="N565" s="45"/>
      <c r="O565" s="46">
        <f>SUM(O559:O564)</f>
        <v>320108.12000000005</v>
      </c>
    </row>
    <row r="566" spans="1:15" ht="60" customHeight="1" thickBot="1" x14ac:dyDescent="0.55000000000000004">
      <c r="A566" s="22"/>
      <c r="B566" s="276"/>
      <c r="C566" s="278"/>
      <c r="D566" s="60"/>
      <c r="E566" s="61"/>
      <c r="F566" s="286"/>
      <c r="G566" s="61"/>
      <c r="H566" s="286"/>
      <c r="I566" s="60"/>
      <c r="J566" s="60"/>
      <c r="K566" s="60"/>
      <c r="L566" s="62"/>
      <c r="M566" s="62"/>
      <c r="N566" s="63"/>
      <c r="O566" s="64"/>
    </row>
    <row r="567" spans="1:15" ht="60" customHeight="1" thickBot="1" x14ac:dyDescent="0.35">
      <c r="A567" s="8" t="s">
        <v>3</v>
      </c>
      <c r="B567" s="9" t="s">
        <v>0</v>
      </c>
      <c r="C567" s="11" t="s">
        <v>1</v>
      </c>
      <c r="D567" s="32" t="s">
        <v>34</v>
      </c>
      <c r="E567" s="11" t="s">
        <v>198</v>
      </c>
      <c r="F567" s="286" t="s">
        <v>199</v>
      </c>
      <c r="G567" s="11" t="s">
        <v>197</v>
      </c>
      <c r="H567" s="286" t="s">
        <v>184</v>
      </c>
      <c r="I567" s="10" t="s">
        <v>2</v>
      </c>
      <c r="J567" s="10" t="s">
        <v>39</v>
      </c>
      <c r="K567" s="11" t="s">
        <v>40</v>
      </c>
      <c r="L567" s="13" t="s">
        <v>14</v>
      </c>
      <c r="M567" s="14" t="s">
        <v>15</v>
      </c>
      <c r="N567" s="15" t="s">
        <v>11</v>
      </c>
      <c r="O567" s="16" t="s">
        <v>76</v>
      </c>
    </row>
    <row r="568" spans="1:15" ht="60" customHeight="1" thickBot="1" x14ac:dyDescent="0.55000000000000004">
      <c r="A568" s="17">
        <v>1</v>
      </c>
      <c r="B568" s="354" t="s">
        <v>73</v>
      </c>
      <c r="C568" s="357">
        <v>1303</v>
      </c>
      <c r="D568" s="34" t="s">
        <v>35</v>
      </c>
      <c r="E568" s="262">
        <v>18071.599999999999</v>
      </c>
      <c r="F568" s="286">
        <v>46163</v>
      </c>
      <c r="G568" s="262">
        <v>18242.099999999999</v>
      </c>
      <c r="H568" s="286">
        <v>46197</v>
      </c>
      <c r="I568" s="34">
        <f>G568-E568</f>
        <v>170.5</v>
      </c>
      <c r="J568" s="34"/>
      <c r="K568" s="34">
        <v>257</v>
      </c>
      <c r="L568" s="360">
        <v>90624.21</v>
      </c>
      <c r="M568" s="36">
        <f t="shared" ref="M568:M573" si="60">I568*K568+J568</f>
        <v>43818.5</v>
      </c>
      <c r="N568" s="37">
        <v>0</v>
      </c>
      <c r="O568" s="38">
        <f>M568-N568</f>
        <v>43818.5</v>
      </c>
    </row>
    <row r="569" spans="1:15" ht="60" customHeight="1" thickBot="1" x14ac:dyDescent="0.55000000000000004">
      <c r="A569" s="17"/>
      <c r="B569" s="355"/>
      <c r="C569" s="358"/>
      <c r="D569" s="21" t="s">
        <v>36</v>
      </c>
      <c r="E569" s="261">
        <v>799</v>
      </c>
      <c r="F569" s="286">
        <v>46163</v>
      </c>
      <c r="G569" s="261">
        <v>810</v>
      </c>
      <c r="H569" s="286">
        <v>46197</v>
      </c>
      <c r="I569" s="34">
        <f>G569-E569</f>
        <v>11</v>
      </c>
      <c r="J569" s="34">
        <v>1000</v>
      </c>
      <c r="K569" s="20">
        <v>1200</v>
      </c>
      <c r="L569" s="361"/>
      <c r="M569" s="36">
        <f t="shared" si="60"/>
        <v>14200</v>
      </c>
      <c r="N569" s="19">
        <v>0</v>
      </c>
      <c r="O569" s="38">
        <f>L569+M569-N569</f>
        <v>14200</v>
      </c>
    </row>
    <row r="570" spans="1:15" ht="60" customHeight="1" thickBot="1" x14ac:dyDescent="0.55000000000000004">
      <c r="A570" s="17"/>
      <c r="B570" s="355"/>
      <c r="C570" s="358"/>
      <c r="D570" s="53" t="s">
        <v>37</v>
      </c>
      <c r="E570" s="40">
        <v>0</v>
      </c>
      <c r="F570" s="286">
        <v>46163</v>
      </c>
      <c r="G570" s="40">
        <v>0</v>
      </c>
      <c r="H570" s="286">
        <v>46197</v>
      </c>
      <c r="I570" s="39">
        <v>1</v>
      </c>
      <c r="J570" s="39"/>
      <c r="K570" s="39">
        <v>25000</v>
      </c>
      <c r="L570" s="361"/>
      <c r="M570" s="36">
        <f t="shared" si="60"/>
        <v>25000</v>
      </c>
      <c r="N570" s="23">
        <v>0</v>
      </c>
      <c r="O570" s="38">
        <f>L570+M570-N570</f>
        <v>25000</v>
      </c>
    </row>
    <row r="571" spans="1:15" ht="60" customHeight="1" thickBot="1" x14ac:dyDescent="0.55000000000000004">
      <c r="A571" s="17"/>
      <c r="B571" s="355"/>
      <c r="C571" s="358"/>
      <c r="D571" s="59" t="s">
        <v>42</v>
      </c>
      <c r="E571" s="56"/>
      <c r="F571" s="286"/>
      <c r="G571" s="56"/>
      <c r="H571" s="286"/>
      <c r="I571" s="55">
        <v>0</v>
      </c>
      <c r="J571" s="55"/>
      <c r="K571" s="55">
        <v>0</v>
      </c>
      <c r="L571" s="361"/>
      <c r="M571" s="36">
        <f t="shared" si="60"/>
        <v>0</v>
      </c>
      <c r="N571" s="58"/>
      <c r="O571" s="38">
        <f>L571+M571-N571</f>
        <v>0</v>
      </c>
    </row>
    <row r="572" spans="1:15" ht="60" customHeight="1" thickBot="1" x14ac:dyDescent="0.55000000000000004">
      <c r="A572" s="17"/>
      <c r="B572" s="355"/>
      <c r="C572" s="358"/>
      <c r="D572" s="52" t="s">
        <v>85</v>
      </c>
      <c r="E572" s="35"/>
      <c r="F572" s="286"/>
      <c r="G572" s="35"/>
      <c r="H572" s="286"/>
      <c r="I572" s="55">
        <v>1</v>
      </c>
      <c r="J572" s="34"/>
      <c r="K572" s="34">
        <v>2000</v>
      </c>
      <c r="L572" s="361"/>
      <c r="M572" s="36">
        <f t="shared" si="60"/>
        <v>2000</v>
      </c>
      <c r="N572" s="37"/>
      <c r="O572" s="38">
        <f>L572+M572-N572</f>
        <v>2000</v>
      </c>
    </row>
    <row r="573" spans="1:15" ht="60" customHeight="1" thickBot="1" x14ac:dyDescent="0.55000000000000004">
      <c r="A573" s="17"/>
      <c r="B573" s="355"/>
      <c r="C573" s="358"/>
      <c r="D573" s="59" t="s">
        <v>14</v>
      </c>
      <c r="E573" s="56"/>
      <c r="F573" s="286"/>
      <c r="G573" s="56"/>
      <c r="H573" s="286"/>
      <c r="I573" s="55"/>
      <c r="J573" s="55"/>
      <c r="K573" s="55"/>
      <c r="L573" s="362"/>
      <c r="M573" s="36">
        <f t="shared" si="60"/>
        <v>0</v>
      </c>
      <c r="N573" s="58"/>
      <c r="O573" s="38">
        <f>L568</f>
        <v>90624.21</v>
      </c>
    </row>
    <row r="574" spans="1:15" ht="60" customHeight="1" thickBot="1" x14ac:dyDescent="0.55000000000000004">
      <c r="A574" s="17"/>
      <c r="B574" s="356"/>
      <c r="C574" s="359"/>
      <c r="D574" s="41" t="s">
        <v>38</v>
      </c>
      <c r="E574" s="42"/>
      <c r="F574" s="286"/>
      <c r="G574" s="42"/>
      <c r="H574" s="286"/>
      <c r="I574" s="43"/>
      <c r="J574" s="43"/>
      <c r="K574" s="43"/>
      <c r="L574" s="44"/>
      <c r="M574" s="44"/>
      <c r="N574" s="45"/>
      <c r="O574" s="46">
        <f>SUM(O568:O573)</f>
        <v>175642.71000000002</v>
      </c>
    </row>
    <row r="575" spans="1:15" ht="35.25" customHeight="1" thickBot="1" x14ac:dyDescent="0.35">
      <c r="F575" s="286"/>
      <c r="H575" s="286"/>
    </row>
    <row r="576" spans="1:15" ht="28.5" customHeight="1" thickBot="1" x14ac:dyDescent="0.35">
      <c r="F576" s="286"/>
      <c r="H576" s="286"/>
    </row>
    <row r="577" spans="1:15" ht="60" customHeight="1" thickBot="1" x14ac:dyDescent="0.35">
      <c r="A577" s="8" t="s">
        <v>3</v>
      </c>
      <c r="B577" s="9" t="s">
        <v>0</v>
      </c>
      <c r="C577" s="11" t="s">
        <v>1</v>
      </c>
      <c r="D577" s="32" t="s">
        <v>34</v>
      </c>
      <c r="E577" s="11" t="s">
        <v>198</v>
      </c>
      <c r="F577" s="286" t="s">
        <v>199</v>
      </c>
      <c r="G577" s="11" t="s">
        <v>197</v>
      </c>
      <c r="H577" s="286" t="s">
        <v>184</v>
      </c>
      <c r="I577" s="10" t="s">
        <v>2</v>
      </c>
      <c r="J577" s="10" t="s">
        <v>39</v>
      </c>
      <c r="K577" s="11" t="s">
        <v>40</v>
      </c>
      <c r="L577" s="13" t="s">
        <v>14</v>
      </c>
      <c r="M577" s="14" t="s">
        <v>15</v>
      </c>
      <c r="N577" s="15" t="s">
        <v>11</v>
      </c>
      <c r="O577" s="16" t="s">
        <v>76</v>
      </c>
    </row>
    <row r="578" spans="1:15" ht="60" customHeight="1" thickBot="1" x14ac:dyDescent="0.55000000000000004">
      <c r="A578" s="17">
        <v>1</v>
      </c>
      <c r="B578" s="354" t="s">
        <v>74</v>
      </c>
      <c r="C578" s="357">
        <v>1304</v>
      </c>
      <c r="D578" s="34" t="s">
        <v>35</v>
      </c>
      <c r="E578" s="262">
        <v>8026.5</v>
      </c>
      <c r="F578" s="286">
        <v>46163</v>
      </c>
      <c r="G578" s="262">
        <v>8393.31</v>
      </c>
      <c r="H578" s="286">
        <v>46197</v>
      </c>
      <c r="I578" s="34">
        <f>G578-E578</f>
        <v>366.80999999999949</v>
      </c>
      <c r="J578" s="34"/>
      <c r="K578" s="34">
        <v>257</v>
      </c>
      <c r="L578" s="360">
        <v>23132.52</v>
      </c>
      <c r="M578" s="36">
        <f t="shared" ref="M578:M583" si="61">I578*K578+J578</f>
        <v>94270.169999999867</v>
      </c>
      <c r="N578" s="37">
        <v>0</v>
      </c>
      <c r="O578" s="38">
        <f>M578-N578</f>
        <v>94270.169999999867</v>
      </c>
    </row>
    <row r="579" spans="1:15" ht="60" customHeight="1" thickBot="1" x14ac:dyDescent="0.55000000000000004">
      <c r="A579" s="17"/>
      <c r="B579" s="355"/>
      <c r="C579" s="358"/>
      <c r="D579" s="21" t="s">
        <v>36</v>
      </c>
      <c r="E579" s="261">
        <v>271</v>
      </c>
      <c r="F579" s="286">
        <v>46163</v>
      </c>
      <c r="G579" s="261">
        <v>283</v>
      </c>
      <c r="H579" s="286">
        <v>46197</v>
      </c>
      <c r="I579" s="34">
        <f>G579-E579</f>
        <v>12</v>
      </c>
      <c r="J579" s="34">
        <v>1000</v>
      </c>
      <c r="K579" s="20">
        <v>1200</v>
      </c>
      <c r="L579" s="361"/>
      <c r="M579" s="36">
        <f t="shared" si="61"/>
        <v>15400</v>
      </c>
      <c r="N579" s="19">
        <v>0</v>
      </c>
      <c r="O579" s="38">
        <f>L579+M579-N579</f>
        <v>15400</v>
      </c>
    </row>
    <row r="580" spans="1:15" ht="60" customHeight="1" thickBot="1" x14ac:dyDescent="0.55000000000000004">
      <c r="A580" s="17"/>
      <c r="B580" s="355"/>
      <c r="C580" s="358"/>
      <c r="D580" s="53" t="s">
        <v>37</v>
      </c>
      <c r="E580" s="40">
        <v>0</v>
      </c>
      <c r="F580" s="286">
        <v>46163</v>
      </c>
      <c r="G580" s="40">
        <v>0</v>
      </c>
      <c r="H580" s="286">
        <v>46197</v>
      </c>
      <c r="I580" s="34">
        <v>1</v>
      </c>
      <c r="J580" s="39">
        <v>0</v>
      </c>
      <c r="K580" s="39">
        <v>25000</v>
      </c>
      <c r="L580" s="361"/>
      <c r="M580" s="36">
        <f t="shared" si="61"/>
        <v>25000</v>
      </c>
      <c r="N580" s="23">
        <v>0</v>
      </c>
      <c r="O580" s="38">
        <f>L580+M580-N580</f>
        <v>25000</v>
      </c>
    </row>
    <row r="581" spans="1:15" ht="60" customHeight="1" thickBot="1" x14ac:dyDescent="0.55000000000000004">
      <c r="A581" s="17"/>
      <c r="B581" s="355"/>
      <c r="C581" s="358"/>
      <c r="D581" s="59" t="s">
        <v>42</v>
      </c>
      <c r="E581" s="56"/>
      <c r="F581" s="286"/>
      <c r="G581" s="56"/>
      <c r="H581" s="286"/>
      <c r="I581" s="34">
        <f>G581-E581</f>
        <v>0</v>
      </c>
      <c r="J581" s="55"/>
      <c r="K581" s="55"/>
      <c r="L581" s="361"/>
      <c r="M581" s="36">
        <f t="shared" si="61"/>
        <v>0</v>
      </c>
      <c r="N581" s="58"/>
      <c r="O581" s="38">
        <f>L581+M581-N581</f>
        <v>0</v>
      </c>
    </row>
    <row r="582" spans="1:15" ht="60" customHeight="1" thickBot="1" x14ac:dyDescent="0.55000000000000004">
      <c r="A582" s="17"/>
      <c r="B582" s="355"/>
      <c r="C582" s="358"/>
      <c r="D582" s="52" t="s">
        <v>85</v>
      </c>
      <c r="E582" s="35"/>
      <c r="F582" s="286"/>
      <c r="G582" s="35"/>
      <c r="H582" s="286"/>
      <c r="I582" s="55">
        <v>1</v>
      </c>
      <c r="J582" s="34"/>
      <c r="K582" s="34">
        <v>2000</v>
      </c>
      <c r="L582" s="361"/>
      <c r="M582" s="36">
        <f t="shared" si="61"/>
        <v>2000</v>
      </c>
      <c r="N582" s="37"/>
      <c r="O582" s="38">
        <f>L582+M582-N582</f>
        <v>2000</v>
      </c>
    </row>
    <row r="583" spans="1:15" ht="60" customHeight="1" thickBot="1" x14ac:dyDescent="0.55000000000000004">
      <c r="A583" s="17"/>
      <c r="B583" s="355"/>
      <c r="C583" s="358"/>
      <c r="D583" s="59" t="s">
        <v>14</v>
      </c>
      <c r="E583" s="56"/>
      <c r="F583" s="286"/>
      <c r="G583" s="56"/>
      <c r="H583" s="286"/>
      <c r="I583" s="55"/>
      <c r="J583" s="55"/>
      <c r="K583" s="55"/>
      <c r="L583" s="362"/>
      <c r="M583" s="36">
        <f t="shared" si="61"/>
        <v>0</v>
      </c>
      <c r="N583" s="58"/>
      <c r="O583" s="38">
        <f>L578</f>
        <v>23132.52</v>
      </c>
    </row>
    <row r="584" spans="1:15" ht="60" customHeight="1" thickBot="1" x14ac:dyDescent="0.55000000000000004">
      <c r="A584" s="17"/>
      <c r="B584" s="356"/>
      <c r="C584" s="359"/>
      <c r="D584" s="41" t="s">
        <v>38</v>
      </c>
      <c r="E584" s="42"/>
      <c r="F584" s="286"/>
      <c r="G584" s="42"/>
      <c r="H584" s="286"/>
      <c r="I584" s="43"/>
      <c r="J584" s="43"/>
      <c r="K584" s="43"/>
      <c r="L584" s="44"/>
      <c r="M584" s="44"/>
      <c r="N584" s="45"/>
      <c r="O584" s="46">
        <f>SUM(O578:O583)</f>
        <v>159802.68999999986</v>
      </c>
    </row>
    <row r="585" spans="1:15" ht="20.25" customHeight="1" thickBot="1" x14ac:dyDescent="0.35">
      <c r="F585" s="286"/>
      <c r="H585" s="286"/>
    </row>
    <row r="586" spans="1:15" ht="12.75" customHeight="1" thickBot="1" x14ac:dyDescent="0.35">
      <c r="F586" s="286"/>
      <c r="H586" s="286"/>
    </row>
    <row r="587" spans="1:15" ht="60" customHeight="1" thickBot="1" x14ac:dyDescent="0.35">
      <c r="A587" s="8" t="s">
        <v>3</v>
      </c>
      <c r="B587" s="9" t="s">
        <v>0</v>
      </c>
      <c r="C587" s="11" t="s">
        <v>1</v>
      </c>
      <c r="D587" s="32" t="s">
        <v>34</v>
      </c>
      <c r="E587" s="11" t="s">
        <v>198</v>
      </c>
      <c r="F587" s="286" t="s">
        <v>199</v>
      </c>
      <c r="G587" s="11" t="s">
        <v>197</v>
      </c>
      <c r="H587" s="286" t="s">
        <v>184</v>
      </c>
      <c r="I587" s="10" t="s">
        <v>2</v>
      </c>
      <c r="J587" s="10" t="s">
        <v>39</v>
      </c>
      <c r="K587" s="11" t="s">
        <v>40</v>
      </c>
      <c r="L587" s="13" t="s">
        <v>14</v>
      </c>
      <c r="M587" s="14" t="s">
        <v>15</v>
      </c>
      <c r="N587" s="15" t="s">
        <v>11</v>
      </c>
      <c r="O587" s="16" t="s">
        <v>76</v>
      </c>
    </row>
    <row r="588" spans="1:15" ht="60" customHeight="1" thickBot="1" x14ac:dyDescent="0.55000000000000004">
      <c r="A588" s="17">
        <v>1</v>
      </c>
      <c r="B588" s="354" t="s">
        <v>75</v>
      </c>
      <c r="C588" s="357">
        <v>1305</v>
      </c>
      <c r="D588" s="52" t="s">
        <v>35</v>
      </c>
      <c r="E588" s="262">
        <v>4431.8999999999996</v>
      </c>
      <c r="F588" s="286">
        <v>46163</v>
      </c>
      <c r="G588" s="262">
        <v>4434.84</v>
      </c>
      <c r="H588" s="286">
        <v>46197</v>
      </c>
      <c r="I588" s="34">
        <f>G588-E588</f>
        <v>2.9400000000005093</v>
      </c>
      <c r="J588" s="34"/>
      <c r="K588" s="34">
        <v>257</v>
      </c>
      <c r="L588" s="360">
        <v>81228.22</v>
      </c>
      <c r="M588" s="36">
        <f>I588*K588+J588</f>
        <v>755.58000000013089</v>
      </c>
      <c r="N588" s="37">
        <v>0</v>
      </c>
      <c r="O588" s="38">
        <f>M588-N588</f>
        <v>755.58000000013089</v>
      </c>
    </row>
    <row r="589" spans="1:15" ht="60" customHeight="1" thickBot="1" x14ac:dyDescent="0.55000000000000004">
      <c r="A589" s="17"/>
      <c r="B589" s="355"/>
      <c r="C589" s="358"/>
      <c r="D589" s="21" t="s">
        <v>36</v>
      </c>
      <c r="E589" s="261">
        <v>722</v>
      </c>
      <c r="F589" s="286">
        <v>46163</v>
      </c>
      <c r="G589" s="261">
        <v>722</v>
      </c>
      <c r="H589" s="286">
        <v>46197</v>
      </c>
      <c r="I589" s="34">
        <f>G589-E589</f>
        <v>0</v>
      </c>
      <c r="J589" s="34">
        <v>0</v>
      </c>
      <c r="K589" s="20">
        <v>1200</v>
      </c>
      <c r="L589" s="361"/>
      <c r="M589" s="36">
        <f>I589*K589+J589</f>
        <v>0</v>
      </c>
      <c r="N589" s="19">
        <v>0</v>
      </c>
      <c r="O589" s="38">
        <f>L589+M589-N589</f>
        <v>0</v>
      </c>
    </row>
    <row r="590" spans="1:15" ht="60" customHeight="1" thickBot="1" x14ac:dyDescent="0.55000000000000004">
      <c r="A590" s="17"/>
      <c r="B590" s="355"/>
      <c r="C590" s="358"/>
      <c r="D590" s="53" t="s">
        <v>37</v>
      </c>
      <c r="E590" s="40">
        <v>0</v>
      </c>
      <c r="F590" s="286">
        <v>46163</v>
      </c>
      <c r="G590" s="40">
        <v>0</v>
      </c>
      <c r="H590" s="286">
        <v>46197</v>
      </c>
      <c r="I590" s="39">
        <v>1</v>
      </c>
      <c r="J590" s="39"/>
      <c r="K590" s="39">
        <v>15000</v>
      </c>
      <c r="L590" s="361"/>
      <c r="M590" s="36">
        <f>K590</f>
        <v>15000</v>
      </c>
      <c r="N590" s="23">
        <v>0</v>
      </c>
      <c r="O590" s="38">
        <f>L590+M590-N590</f>
        <v>15000</v>
      </c>
    </row>
    <row r="591" spans="1:15" ht="60" customHeight="1" thickBot="1" x14ac:dyDescent="0.55000000000000004">
      <c r="A591" s="17"/>
      <c r="B591" s="355"/>
      <c r="C591" s="358"/>
      <c r="D591" s="59" t="s">
        <v>42</v>
      </c>
      <c r="E591" s="56"/>
      <c r="F591" s="286"/>
      <c r="G591" s="56"/>
      <c r="H591" s="286"/>
      <c r="I591" s="55">
        <v>0</v>
      </c>
      <c r="J591" s="55"/>
      <c r="K591" s="55">
        <v>0</v>
      </c>
      <c r="L591" s="361"/>
      <c r="M591" s="36">
        <f>I591*K591+J591</f>
        <v>0</v>
      </c>
      <c r="N591" s="58"/>
      <c r="O591" s="38">
        <f>L591+M591-N591</f>
        <v>0</v>
      </c>
    </row>
    <row r="592" spans="1:15" ht="32.25" customHeight="1" thickBot="1" x14ac:dyDescent="0.55000000000000004">
      <c r="A592" s="17"/>
      <c r="B592" s="355"/>
      <c r="C592" s="358"/>
      <c r="D592" s="52" t="s">
        <v>85</v>
      </c>
      <c r="E592" s="35"/>
      <c r="F592" s="286"/>
      <c r="G592" s="35"/>
      <c r="H592" s="286"/>
      <c r="I592" s="55">
        <v>0</v>
      </c>
      <c r="J592" s="34"/>
      <c r="K592" s="34">
        <v>2000</v>
      </c>
      <c r="L592" s="361"/>
      <c r="M592" s="36">
        <f>I592*K592+J592</f>
        <v>0</v>
      </c>
      <c r="N592" s="37"/>
      <c r="O592" s="38">
        <f>L592+M592-N592</f>
        <v>0</v>
      </c>
    </row>
    <row r="593" spans="1:15" ht="33.75" customHeight="1" thickBot="1" x14ac:dyDescent="0.55000000000000004">
      <c r="A593" s="17"/>
      <c r="B593" s="355"/>
      <c r="C593" s="358"/>
      <c r="D593" s="59" t="s">
        <v>14</v>
      </c>
      <c r="E593" s="56"/>
      <c r="F593" s="286"/>
      <c r="G593" s="56"/>
      <c r="H593" s="286"/>
      <c r="I593" s="55"/>
      <c r="J593" s="55"/>
      <c r="K593" s="55"/>
      <c r="L593" s="362"/>
      <c r="M593" s="36">
        <f>I593*K593+J593</f>
        <v>0</v>
      </c>
      <c r="N593" s="58"/>
      <c r="O593" s="38">
        <f>L588</f>
        <v>81228.22</v>
      </c>
    </row>
    <row r="594" spans="1:15" ht="60" customHeight="1" thickBot="1" x14ac:dyDescent="0.55000000000000004">
      <c r="A594" s="17"/>
      <c r="B594" s="356"/>
      <c r="C594" s="359"/>
      <c r="D594" s="41" t="s">
        <v>38</v>
      </c>
      <c r="E594" s="42"/>
      <c r="F594" s="286"/>
      <c r="G594" s="42"/>
      <c r="H594" s="286"/>
      <c r="I594" s="43"/>
      <c r="J594" s="43"/>
      <c r="K594" s="43"/>
      <c r="L594" s="44"/>
      <c r="M594" s="44"/>
      <c r="N594" s="45"/>
      <c r="O594" s="46">
        <f>SUM(O588:O593)</f>
        <v>96983.800000000134</v>
      </c>
    </row>
  </sheetData>
  <mergeCells count="195">
    <mergeCell ref="B588:B594"/>
    <mergeCell ref="C588:C594"/>
    <mergeCell ref="L588:L593"/>
    <mergeCell ref="B568:B574"/>
    <mergeCell ref="C568:C574"/>
    <mergeCell ref="L568:L573"/>
    <mergeCell ref="B578:B584"/>
    <mergeCell ref="C578:C584"/>
    <mergeCell ref="L578:L583"/>
    <mergeCell ref="B559:B565"/>
    <mergeCell ref="C559:C565"/>
    <mergeCell ref="L559:L564"/>
    <mergeCell ref="B492:B498"/>
    <mergeCell ref="C492:C498"/>
    <mergeCell ref="L492:L497"/>
    <mergeCell ref="B502:B508"/>
    <mergeCell ref="C502:C508"/>
    <mergeCell ref="L502:L507"/>
    <mergeCell ref="B512:B518"/>
    <mergeCell ref="C512:C518"/>
    <mergeCell ref="L512:L517"/>
    <mergeCell ref="B521:B527"/>
    <mergeCell ref="C521:C527"/>
    <mergeCell ref="L521:L526"/>
    <mergeCell ref="B530:B536"/>
    <mergeCell ref="C530:C536"/>
    <mergeCell ref="L530:L535"/>
    <mergeCell ref="B540:B546"/>
    <mergeCell ref="C540:C546"/>
    <mergeCell ref="L540:L545"/>
    <mergeCell ref="B549:B555"/>
    <mergeCell ref="C549:C555"/>
    <mergeCell ref="L549:L554"/>
    <mergeCell ref="B483:B489"/>
    <mergeCell ref="C483:C489"/>
    <mergeCell ref="L483:L488"/>
    <mergeCell ref="B455:B461"/>
    <mergeCell ref="C455:C461"/>
    <mergeCell ref="L455:L460"/>
    <mergeCell ref="B465:B471"/>
    <mergeCell ref="C465:C471"/>
    <mergeCell ref="L465:L470"/>
    <mergeCell ref="B428:B434"/>
    <mergeCell ref="C428:C434"/>
    <mergeCell ref="L428:L433"/>
    <mergeCell ref="B474:B480"/>
    <mergeCell ref="C474:C480"/>
    <mergeCell ref="L474:L479"/>
    <mergeCell ref="L392:L397"/>
    <mergeCell ref="B437:B443"/>
    <mergeCell ref="C437:C443"/>
    <mergeCell ref="L437:L442"/>
    <mergeCell ref="B446:B452"/>
    <mergeCell ref="C446:C452"/>
    <mergeCell ref="L446:L451"/>
    <mergeCell ref="B419:B425"/>
    <mergeCell ref="C419:C425"/>
    <mergeCell ref="L419:L424"/>
    <mergeCell ref="B401:B407"/>
    <mergeCell ref="C401:C407"/>
    <mergeCell ref="B410:B416"/>
    <mergeCell ref="C410:C416"/>
    <mergeCell ref="L410:L415"/>
    <mergeCell ref="L401:L403"/>
    <mergeCell ref="B383:B389"/>
    <mergeCell ref="C383:C389"/>
    <mergeCell ref="L383:L388"/>
    <mergeCell ref="B392:B398"/>
    <mergeCell ref="C392:C398"/>
    <mergeCell ref="B347:B353"/>
    <mergeCell ref="C347:C353"/>
    <mergeCell ref="L347:L352"/>
    <mergeCell ref="B356:B362"/>
    <mergeCell ref="C356:C362"/>
    <mergeCell ref="L356:L361"/>
    <mergeCell ref="B365:B371"/>
    <mergeCell ref="C365:C371"/>
    <mergeCell ref="L365:L370"/>
    <mergeCell ref="B374:B380"/>
    <mergeCell ref="C374:C380"/>
    <mergeCell ref="L374:L379"/>
    <mergeCell ref="B338:B344"/>
    <mergeCell ref="C338:C344"/>
    <mergeCell ref="L338:L343"/>
    <mergeCell ref="B275:B281"/>
    <mergeCell ref="C275:C281"/>
    <mergeCell ref="L275:L280"/>
    <mergeCell ref="B284:B290"/>
    <mergeCell ref="C284:C290"/>
    <mergeCell ref="L284:L289"/>
    <mergeCell ref="B293:B299"/>
    <mergeCell ref="C293:C299"/>
    <mergeCell ref="L293:L298"/>
    <mergeCell ref="B302:B308"/>
    <mergeCell ref="C302:C308"/>
    <mergeCell ref="L302:L307"/>
    <mergeCell ref="B311:B317"/>
    <mergeCell ref="C311:C317"/>
    <mergeCell ref="L311:L316"/>
    <mergeCell ref="B320:B326"/>
    <mergeCell ref="C320:C326"/>
    <mergeCell ref="L320:L325"/>
    <mergeCell ref="B329:B335"/>
    <mergeCell ref="C329:C335"/>
    <mergeCell ref="L329:L334"/>
    <mergeCell ref="B266:B272"/>
    <mergeCell ref="C266:C272"/>
    <mergeCell ref="L266:L271"/>
    <mergeCell ref="B206:B212"/>
    <mergeCell ref="C206:C212"/>
    <mergeCell ref="L206:L211"/>
    <mergeCell ref="B215:B221"/>
    <mergeCell ref="C215:C221"/>
    <mergeCell ref="L215:L220"/>
    <mergeCell ref="B224:B230"/>
    <mergeCell ref="C224:C230"/>
    <mergeCell ref="L224:L229"/>
    <mergeCell ref="B233:B239"/>
    <mergeCell ref="C233:C239"/>
    <mergeCell ref="L233:L238"/>
    <mergeCell ref="B241:B247"/>
    <mergeCell ref="C241:C247"/>
    <mergeCell ref="L241:L246"/>
    <mergeCell ref="B249:B255"/>
    <mergeCell ref="C249:C255"/>
    <mergeCell ref="L249:L254"/>
    <mergeCell ref="B257:B263"/>
    <mergeCell ref="C257:C263"/>
    <mergeCell ref="L257:L262"/>
    <mergeCell ref="B197:B203"/>
    <mergeCell ref="C197:C203"/>
    <mergeCell ref="L197:L202"/>
    <mergeCell ref="B134:B140"/>
    <mergeCell ref="C134:C140"/>
    <mergeCell ref="L134:L139"/>
    <mergeCell ref="B143:B149"/>
    <mergeCell ref="C143:C149"/>
    <mergeCell ref="L143:L148"/>
    <mergeCell ref="B152:B158"/>
    <mergeCell ref="C152:C158"/>
    <mergeCell ref="L152:L157"/>
    <mergeCell ref="B161:B167"/>
    <mergeCell ref="C161:C167"/>
    <mergeCell ref="L161:L166"/>
    <mergeCell ref="B170:B176"/>
    <mergeCell ref="C170:C176"/>
    <mergeCell ref="L170:L175"/>
    <mergeCell ref="B179:B185"/>
    <mergeCell ref="C179:C185"/>
    <mergeCell ref="L179:L184"/>
    <mergeCell ref="B188:B194"/>
    <mergeCell ref="C188:C194"/>
    <mergeCell ref="L188:L193"/>
    <mergeCell ref="B125:B131"/>
    <mergeCell ref="C125:C131"/>
    <mergeCell ref="L125:L130"/>
    <mergeCell ref="B56:B62"/>
    <mergeCell ref="C56:C62"/>
    <mergeCell ref="L56:L61"/>
    <mergeCell ref="B65:B71"/>
    <mergeCell ref="C65:C71"/>
    <mergeCell ref="L65:L70"/>
    <mergeCell ref="B80:B86"/>
    <mergeCell ref="C80:C86"/>
    <mergeCell ref="L80:L85"/>
    <mergeCell ref="B89:B95"/>
    <mergeCell ref="C89:C95"/>
    <mergeCell ref="L89:L94"/>
    <mergeCell ref="B98:B104"/>
    <mergeCell ref="C98:C104"/>
    <mergeCell ref="L98:L103"/>
    <mergeCell ref="B107:B113"/>
    <mergeCell ref="C107:C113"/>
    <mergeCell ref="L107:L112"/>
    <mergeCell ref="B116:B122"/>
    <mergeCell ref="C116:C122"/>
    <mergeCell ref="L116:L121"/>
    <mergeCell ref="B47:B53"/>
    <mergeCell ref="C47:C53"/>
    <mergeCell ref="L47:L52"/>
    <mergeCell ref="B2:B8"/>
    <mergeCell ref="C2:C8"/>
    <mergeCell ref="L2:L7"/>
    <mergeCell ref="B11:B17"/>
    <mergeCell ref="C11:C17"/>
    <mergeCell ref="L11:L16"/>
    <mergeCell ref="B20:B26"/>
    <mergeCell ref="C20:C26"/>
    <mergeCell ref="L20:L25"/>
    <mergeCell ref="B29:B35"/>
    <mergeCell ref="C29:C35"/>
    <mergeCell ref="L29:L34"/>
    <mergeCell ref="B38:B44"/>
    <mergeCell ref="C38:C44"/>
    <mergeCell ref="L38:L43"/>
  </mergeCells>
  <pageMargins left="1" right="1" top="1" bottom="1" header="0.5" footer="0.5"/>
  <pageSetup paperSize="9" scale="2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909"/>
  <sheetViews>
    <sheetView rightToLeft="1" topLeftCell="B798" zoomScale="90" zoomScaleNormal="80" zoomScaleSheetLayoutView="80" workbookViewId="0">
      <selection activeCell="C804" sqref="C804:C811"/>
    </sheetView>
  </sheetViews>
  <sheetFormatPr defaultColWidth="9.09765625" defaultRowHeight="15" x14ac:dyDescent="0.25"/>
  <cols>
    <col min="1" max="1" width="6.296875" style="69" bestFit="1" customWidth="1"/>
    <col min="2" max="2" width="18.8984375" style="69" customWidth="1"/>
    <col min="3" max="3" width="12.59765625" style="69" customWidth="1"/>
    <col min="4" max="4" width="17" style="69" customWidth="1"/>
    <col min="5" max="5" width="20.09765625" style="70" customWidth="1"/>
    <col min="6" max="6" width="14.69921875" style="69" customWidth="1"/>
    <col min="7" max="7" width="20.09765625" style="70" customWidth="1"/>
    <col min="8" max="8" width="14.69921875" style="69" customWidth="1"/>
    <col min="9" max="9" width="8" style="69" customWidth="1"/>
    <col min="10" max="10" width="9.8984375" style="69" customWidth="1"/>
    <col min="11" max="11" width="8.3984375" style="69" customWidth="1"/>
    <col min="12" max="12" width="15.09765625" style="69" bestFit="1" customWidth="1"/>
    <col min="13" max="13" width="18.59765625" style="71" bestFit="1" customWidth="1"/>
    <col min="14" max="14" width="6" style="72" bestFit="1" customWidth="1"/>
    <col min="15" max="15" width="15.69921875" style="73" bestFit="1" customWidth="1"/>
    <col min="16" max="19" width="9.09765625" style="74"/>
    <col min="20" max="20" width="9" style="74" customWidth="1"/>
    <col min="21" max="16384" width="9.09765625" style="74"/>
  </cols>
  <sheetData>
    <row r="1" spans="1:15" ht="31.8" thickBot="1" x14ac:dyDescent="0.3">
      <c r="A1" s="75" t="s">
        <v>3</v>
      </c>
      <c r="B1" s="76" t="s">
        <v>0</v>
      </c>
      <c r="C1" s="77" t="s">
        <v>1</v>
      </c>
      <c r="D1" s="78" t="s">
        <v>34</v>
      </c>
      <c r="E1" s="79" t="s">
        <v>198</v>
      </c>
      <c r="F1" s="80" t="s">
        <v>194</v>
      </c>
      <c r="G1" s="79" t="s">
        <v>196</v>
      </c>
      <c r="H1" s="80" t="s">
        <v>9</v>
      </c>
      <c r="I1" s="77" t="s">
        <v>2</v>
      </c>
      <c r="J1" s="77" t="s">
        <v>39</v>
      </c>
      <c r="K1" s="79" t="s">
        <v>40</v>
      </c>
      <c r="L1" s="81" t="s">
        <v>14</v>
      </c>
      <c r="M1" s="82" t="s">
        <v>15</v>
      </c>
      <c r="N1" s="83" t="s">
        <v>11</v>
      </c>
      <c r="O1" s="84" t="s">
        <v>12</v>
      </c>
    </row>
    <row r="2" spans="1:15" ht="15.6" thickBot="1" x14ac:dyDescent="0.3">
      <c r="A2" s="85">
        <v>1</v>
      </c>
      <c r="B2" s="417" t="s">
        <v>89</v>
      </c>
      <c r="C2" s="420">
        <v>101</v>
      </c>
      <c r="D2" s="87" t="s">
        <v>35</v>
      </c>
      <c r="E2" s="88">
        <v>762.5</v>
      </c>
      <c r="F2" s="171">
        <v>46163</v>
      </c>
      <c r="G2" s="88">
        <v>767</v>
      </c>
      <c r="H2" s="171">
        <v>46197</v>
      </c>
      <c r="I2" s="86">
        <f>G2-E2</f>
        <v>4.5</v>
      </c>
      <c r="J2" s="86"/>
      <c r="K2" s="86">
        <v>257</v>
      </c>
      <c r="L2" s="382">
        <v>36484.300000000003</v>
      </c>
      <c r="M2" s="90">
        <f t="shared" ref="M2:M8" si="0">I2*K2+J2</f>
        <v>1156.5</v>
      </c>
      <c r="N2" s="91">
        <v>0</v>
      </c>
      <c r="O2" s="92">
        <f>M2-N2</f>
        <v>1156.5</v>
      </c>
    </row>
    <row r="3" spans="1:15" ht="15.6" thickBot="1" x14ac:dyDescent="0.3">
      <c r="A3" s="85"/>
      <c r="B3" s="418"/>
      <c r="C3" s="409"/>
      <c r="D3" s="94" t="s">
        <v>36</v>
      </c>
      <c r="E3" s="95">
        <v>473</v>
      </c>
      <c r="F3" s="171">
        <v>46163</v>
      </c>
      <c r="G3" s="95">
        <v>474</v>
      </c>
      <c r="H3" s="171">
        <v>46197</v>
      </c>
      <c r="I3" s="86">
        <f>G3-E3</f>
        <v>1</v>
      </c>
      <c r="J3" s="86">
        <v>1000</v>
      </c>
      <c r="K3" s="93">
        <v>1200</v>
      </c>
      <c r="L3" s="383"/>
      <c r="M3" s="90">
        <f t="shared" si="0"/>
        <v>2200</v>
      </c>
      <c r="N3" s="98"/>
      <c r="O3" s="92">
        <f>M3-N3</f>
        <v>2200</v>
      </c>
    </row>
    <row r="4" spans="1:15" ht="15.6" thickBot="1" x14ac:dyDescent="0.3">
      <c r="A4" s="85"/>
      <c r="B4" s="418"/>
      <c r="C4" s="409"/>
      <c r="D4" s="94" t="s">
        <v>37</v>
      </c>
      <c r="E4" s="95"/>
      <c r="F4" s="96"/>
      <c r="G4" s="95"/>
      <c r="H4" s="96"/>
      <c r="I4" s="93">
        <v>1</v>
      </c>
      <c r="J4" s="93"/>
      <c r="K4" s="93">
        <v>15000</v>
      </c>
      <c r="L4" s="383"/>
      <c r="M4" s="90">
        <f t="shared" si="0"/>
        <v>15000</v>
      </c>
      <c r="N4" s="99"/>
      <c r="O4" s="92">
        <f t="shared" ref="O4:O7" si="1">M4+L4-N4</f>
        <v>15000</v>
      </c>
    </row>
    <row r="5" spans="1:15" ht="15.6" thickBot="1" x14ac:dyDescent="0.3">
      <c r="A5" s="85"/>
      <c r="B5" s="418"/>
      <c r="C5" s="409"/>
      <c r="D5" s="94" t="s">
        <v>90</v>
      </c>
      <c r="E5" s="95"/>
      <c r="F5" s="96"/>
      <c r="G5" s="95"/>
      <c r="H5" s="96"/>
      <c r="I5" s="93"/>
      <c r="J5" s="93"/>
      <c r="K5" s="93"/>
      <c r="L5" s="383"/>
      <c r="M5" s="90">
        <f t="shared" si="0"/>
        <v>0</v>
      </c>
      <c r="N5" s="98"/>
      <c r="O5" s="92">
        <f t="shared" si="1"/>
        <v>0</v>
      </c>
    </row>
    <row r="6" spans="1:15" ht="15.6" thickBot="1" x14ac:dyDescent="0.3">
      <c r="A6" s="85"/>
      <c r="B6" s="418"/>
      <c r="C6" s="409"/>
      <c r="D6" s="94" t="s">
        <v>91</v>
      </c>
      <c r="E6" s="95"/>
      <c r="F6" s="96"/>
      <c r="G6" s="95"/>
      <c r="H6" s="96"/>
      <c r="I6" s="93">
        <v>1</v>
      </c>
      <c r="J6" s="93"/>
      <c r="K6" s="93">
        <v>2000</v>
      </c>
      <c r="L6" s="383"/>
      <c r="M6" s="90">
        <f t="shared" si="0"/>
        <v>2000</v>
      </c>
      <c r="N6" s="98"/>
      <c r="O6" s="92">
        <f t="shared" si="1"/>
        <v>2000</v>
      </c>
    </row>
    <row r="7" spans="1:15" ht="30.6" thickBot="1" x14ac:dyDescent="0.3">
      <c r="A7" s="85"/>
      <c r="B7" s="418"/>
      <c r="C7" s="409"/>
      <c r="D7" s="94" t="s">
        <v>92</v>
      </c>
      <c r="E7" s="95"/>
      <c r="F7" s="96"/>
      <c r="G7" s="95"/>
      <c r="H7" s="96"/>
      <c r="I7" s="93">
        <v>0</v>
      </c>
      <c r="J7" s="93"/>
      <c r="K7" s="93">
        <v>0</v>
      </c>
      <c r="L7" s="383"/>
      <c r="M7" s="90">
        <f t="shared" si="0"/>
        <v>0</v>
      </c>
      <c r="N7" s="98"/>
      <c r="O7" s="92">
        <f t="shared" si="1"/>
        <v>0</v>
      </c>
    </row>
    <row r="8" spans="1:15" x14ac:dyDescent="0.25">
      <c r="A8" s="85"/>
      <c r="B8" s="418"/>
      <c r="C8" s="409"/>
      <c r="D8" s="94" t="s">
        <v>189</v>
      </c>
      <c r="E8" s="95"/>
      <c r="F8" s="96"/>
      <c r="G8" s="95"/>
      <c r="H8" s="96"/>
      <c r="I8" s="93"/>
      <c r="J8" s="93"/>
      <c r="K8" s="93"/>
      <c r="L8" s="384"/>
      <c r="M8" s="90">
        <f t="shared" si="0"/>
        <v>0</v>
      </c>
      <c r="N8" s="98"/>
      <c r="O8" s="92">
        <f>L2</f>
        <v>36484.300000000003</v>
      </c>
    </row>
    <row r="9" spans="1:15" s="108" customFormat="1" ht="16.2" thickBot="1" x14ac:dyDescent="0.35">
      <c r="A9" s="100"/>
      <c r="B9" s="419"/>
      <c r="C9" s="421"/>
      <c r="D9" s="101" t="s">
        <v>38</v>
      </c>
      <c r="E9" s="102"/>
      <c r="F9" s="103"/>
      <c r="G9" s="102"/>
      <c r="H9" s="103"/>
      <c r="I9" s="101"/>
      <c r="J9" s="101"/>
      <c r="K9" s="101"/>
      <c r="L9" s="104"/>
      <c r="M9" s="105"/>
      <c r="N9" s="106"/>
      <c r="O9" s="107">
        <f>SUM(O2:O8)</f>
        <v>56840.800000000003</v>
      </c>
    </row>
    <row r="10" spans="1:15" ht="15.6" thickBot="1" x14ac:dyDescent="0.3">
      <c r="A10" s="85"/>
      <c r="B10" s="109"/>
      <c r="C10" s="110"/>
      <c r="D10" s="111"/>
      <c r="E10" s="317"/>
      <c r="F10" s="110"/>
      <c r="G10" s="317"/>
      <c r="H10" s="110"/>
      <c r="I10" s="110"/>
      <c r="J10" s="110"/>
      <c r="K10" s="110"/>
      <c r="L10" s="112"/>
      <c r="M10" s="113"/>
      <c r="N10" s="114"/>
      <c r="O10" s="115"/>
    </row>
    <row r="11" spans="1:15" ht="31.8" thickBot="1" x14ac:dyDescent="0.3">
      <c r="A11" s="85"/>
      <c r="B11" s="76" t="s">
        <v>0</v>
      </c>
      <c r="C11" s="79" t="s">
        <v>1</v>
      </c>
      <c r="D11" s="78"/>
      <c r="E11" s="79" t="s">
        <v>198</v>
      </c>
      <c r="F11" s="80" t="s">
        <v>194</v>
      </c>
      <c r="G11" s="79" t="s">
        <v>196</v>
      </c>
      <c r="H11" s="80" t="s">
        <v>9</v>
      </c>
      <c r="I11" s="77" t="s">
        <v>2</v>
      </c>
      <c r="J11" s="77" t="s">
        <v>39</v>
      </c>
      <c r="K11" s="79" t="s">
        <v>13</v>
      </c>
      <c r="L11" s="81" t="s">
        <v>14</v>
      </c>
      <c r="M11" s="82" t="s">
        <v>15</v>
      </c>
      <c r="N11" s="83" t="s">
        <v>11</v>
      </c>
      <c r="O11" s="84" t="s">
        <v>12</v>
      </c>
    </row>
    <row r="12" spans="1:15" ht="15.6" thickBot="1" x14ac:dyDescent="0.3">
      <c r="A12" s="85">
        <v>1</v>
      </c>
      <c r="B12" s="422" t="s">
        <v>93</v>
      </c>
      <c r="C12" s="392">
        <v>102</v>
      </c>
      <c r="D12" s="87" t="s">
        <v>35</v>
      </c>
      <c r="E12" s="88">
        <v>290.10000000000002</v>
      </c>
      <c r="F12" s="171">
        <v>46163</v>
      </c>
      <c r="G12" s="88">
        <v>291.8</v>
      </c>
      <c r="H12" s="171">
        <v>46197</v>
      </c>
      <c r="I12" s="86">
        <f>G12-E12</f>
        <v>1.6999999999999886</v>
      </c>
      <c r="J12" s="86"/>
      <c r="K12" s="86">
        <v>257</v>
      </c>
      <c r="L12" s="382">
        <v>-71.599999999999994</v>
      </c>
      <c r="M12" s="90">
        <f t="shared" ref="M12:M18" si="2">I12*K12+J12</f>
        <v>436.89999999999708</v>
      </c>
      <c r="N12" s="91">
        <v>0</v>
      </c>
      <c r="O12" s="92">
        <f t="shared" ref="O12:O13" si="3">M12-N12</f>
        <v>436.89999999999708</v>
      </c>
    </row>
    <row r="13" spans="1:15" ht="15.6" thickBot="1" x14ac:dyDescent="0.3">
      <c r="A13" s="85"/>
      <c r="B13" s="423"/>
      <c r="C13" s="393"/>
      <c r="D13" s="94" t="s">
        <v>36</v>
      </c>
      <c r="E13" s="95">
        <v>192</v>
      </c>
      <c r="F13" s="171">
        <v>46163</v>
      </c>
      <c r="G13" s="95">
        <v>195</v>
      </c>
      <c r="H13" s="171">
        <v>46197</v>
      </c>
      <c r="I13" s="86">
        <f>G13-E13</f>
        <v>3</v>
      </c>
      <c r="J13" s="86">
        <v>1000</v>
      </c>
      <c r="K13" s="93">
        <v>1200</v>
      </c>
      <c r="L13" s="383"/>
      <c r="M13" s="267">
        <f t="shared" si="2"/>
        <v>4600</v>
      </c>
      <c r="N13" s="98"/>
      <c r="O13" s="92">
        <f t="shared" si="3"/>
        <v>4600</v>
      </c>
    </row>
    <row r="14" spans="1:15" ht="15.6" thickBot="1" x14ac:dyDescent="0.3">
      <c r="A14" s="85"/>
      <c r="B14" s="423"/>
      <c r="C14" s="393"/>
      <c r="D14" s="117" t="s">
        <v>37</v>
      </c>
      <c r="E14" s="118"/>
      <c r="F14" s="119"/>
      <c r="G14" s="118"/>
      <c r="H14" s="119"/>
      <c r="I14" s="120">
        <v>1</v>
      </c>
      <c r="J14" s="120"/>
      <c r="K14" s="120">
        <v>25000</v>
      </c>
      <c r="L14" s="383"/>
      <c r="M14" s="90">
        <f t="shared" si="2"/>
        <v>25000</v>
      </c>
      <c r="N14" s="99"/>
      <c r="O14" s="92">
        <f t="shared" ref="O14:O17" si="4">M14+L14-N14</f>
        <v>25000</v>
      </c>
    </row>
    <row r="15" spans="1:15" ht="15.6" thickBot="1" x14ac:dyDescent="0.3">
      <c r="A15" s="85"/>
      <c r="B15" s="423"/>
      <c r="C15" s="393"/>
      <c r="D15" s="94" t="s">
        <v>90</v>
      </c>
      <c r="E15" s="95"/>
      <c r="F15" s="96"/>
      <c r="G15" s="95"/>
      <c r="H15" s="96"/>
      <c r="I15" s="93"/>
      <c r="J15" s="93"/>
      <c r="K15" s="93"/>
      <c r="L15" s="383"/>
      <c r="M15" s="90">
        <f t="shared" si="2"/>
        <v>0</v>
      </c>
      <c r="N15" s="98"/>
      <c r="O15" s="92">
        <f t="shared" si="4"/>
        <v>0</v>
      </c>
    </row>
    <row r="16" spans="1:15" ht="15.6" thickBot="1" x14ac:dyDescent="0.3">
      <c r="A16" s="85"/>
      <c r="B16" s="423"/>
      <c r="C16" s="393"/>
      <c r="D16" s="94" t="s">
        <v>91</v>
      </c>
      <c r="E16" s="95"/>
      <c r="F16" s="96"/>
      <c r="G16" s="95"/>
      <c r="H16" s="96"/>
      <c r="I16" s="93">
        <v>1</v>
      </c>
      <c r="J16" s="93"/>
      <c r="K16" s="93">
        <v>2000</v>
      </c>
      <c r="L16" s="383"/>
      <c r="M16" s="90">
        <f t="shared" si="2"/>
        <v>2000</v>
      </c>
      <c r="N16" s="98"/>
      <c r="O16" s="122">
        <f t="shared" si="4"/>
        <v>2000</v>
      </c>
    </row>
    <row r="17" spans="1:15" ht="30.6" thickBot="1" x14ac:dyDescent="0.3">
      <c r="A17" s="85"/>
      <c r="B17" s="423"/>
      <c r="C17" s="393"/>
      <c r="D17" s="94" t="s">
        <v>92</v>
      </c>
      <c r="E17" s="95"/>
      <c r="F17" s="96"/>
      <c r="G17" s="95"/>
      <c r="H17" s="96"/>
      <c r="I17" s="93">
        <v>0</v>
      </c>
      <c r="J17" s="93"/>
      <c r="K17" s="93">
        <v>0</v>
      </c>
      <c r="L17" s="383"/>
      <c r="M17" s="90">
        <f t="shared" si="2"/>
        <v>0</v>
      </c>
      <c r="N17" s="98"/>
      <c r="O17" s="92">
        <f t="shared" si="4"/>
        <v>0</v>
      </c>
    </row>
    <row r="18" spans="1:15" x14ac:dyDescent="0.25">
      <c r="A18" s="85"/>
      <c r="B18" s="423"/>
      <c r="C18" s="393"/>
      <c r="D18" s="94" t="s">
        <v>189</v>
      </c>
      <c r="E18" s="95"/>
      <c r="F18" s="96"/>
      <c r="G18" s="95"/>
      <c r="H18" s="96"/>
      <c r="I18" s="93"/>
      <c r="J18" s="93"/>
      <c r="K18" s="93"/>
      <c r="L18" s="384"/>
      <c r="M18" s="90">
        <f t="shared" si="2"/>
        <v>0</v>
      </c>
      <c r="N18" s="98"/>
      <c r="O18" s="92">
        <f>L12</f>
        <v>-71.599999999999994</v>
      </c>
    </row>
    <row r="19" spans="1:15" ht="16.2" thickBot="1" x14ac:dyDescent="0.35">
      <c r="A19" s="85"/>
      <c r="B19" s="423"/>
      <c r="C19" s="393"/>
      <c r="D19" s="123" t="s">
        <v>38</v>
      </c>
      <c r="E19" s="124"/>
      <c r="F19" s="125"/>
      <c r="G19" s="124"/>
      <c r="H19" s="125"/>
      <c r="I19" s="126"/>
      <c r="J19" s="126"/>
      <c r="K19" s="126"/>
      <c r="L19" s="127"/>
      <c r="M19" s="127"/>
      <c r="N19" s="128"/>
      <c r="O19" s="107">
        <f>SUM(O12:O18)</f>
        <v>31965.3</v>
      </c>
    </row>
    <row r="20" spans="1:15" ht="16.2" thickBot="1" x14ac:dyDescent="0.35">
      <c r="A20" s="85"/>
      <c r="B20" s="424"/>
      <c r="C20" s="425"/>
      <c r="D20" s="129"/>
      <c r="E20" s="130"/>
      <c r="F20" s="131"/>
      <c r="G20" s="130"/>
      <c r="H20" s="131"/>
      <c r="I20" s="129"/>
      <c r="J20" s="129"/>
      <c r="K20" s="129"/>
      <c r="L20" s="132"/>
      <c r="M20" s="132"/>
      <c r="N20" s="133"/>
      <c r="O20" s="134"/>
    </row>
    <row r="21" spans="1:15" ht="31.8" thickBot="1" x14ac:dyDescent="0.3">
      <c r="A21" s="85"/>
      <c r="B21" s="76" t="s">
        <v>0</v>
      </c>
      <c r="C21" s="79" t="s">
        <v>1</v>
      </c>
      <c r="D21" s="78"/>
      <c r="E21" s="79" t="s">
        <v>198</v>
      </c>
      <c r="F21" s="80" t="s">
        <v>194</v>
      </c>
      <c r="G21" s="79" t="s">
        <v>196</v>
      </c>
      <c r="H21" s="80" t="s">
        <v>9</v>
      </c>
      <c r="I21" s="77" t="s">
        <v>2</v>
      </c>
      <c r="J21" s="77" t="s">
        <v>39</v>
      </c>
      <c r="K21" s="79" t="s">
        <v>13</v>
      </c>
      <c r="L21" s="81" t="s">
        <v>14</v>
      </c>
      <c r="M21" s="82" t="s">
        <v>15</v>
      </c>
      <c r="N21" s="83" t="s">
        <v>11</v>
      </c>
      <c r="O21" s="84" t="s">
        <v>12</v>
      </c>
    </row>
    <row r="22" spans="1:15" ht="15.6" thickBot="1" x14ac:dyDescent="0.3">
      <c r="A22" s="85">
        <v>1</v>
      </c>
      <c r="B22" s="400" t="s">
        <v>94</v>
      </c>
      <c r="C22" s="392">
        <v>103</v>
      </c>
      <c r="D22" s="87" t="s">
        <v>35</v>
      </c>
      <c r="E22" s="88">
        <v>4774.7</v>
      </c>
      <c r="F22" s="89">
        <v>46163</v>
      </c>
      <c r="G22" s="88">
        <v>4832.6000000000004</v>
      </c>
      <c r="H22" s="89">
        <v>46197</v>
      </c>
      <c r="I22" s="86">
        <f>G22-E22</f>
        <v>57.900000000000546</v>
      </c>
      <c r="J22" s="86"/>
      <c r="K22" s="86">
        <v>257</v>
      </c>
      <c r="L22" s="382">
        <v>-631.5</v>
      </c>
      <c r="M22" s="90">
        <f t="shared" ref="M22:M28" si="5">I22*K22+J22</f>
        <v>14880.300000000141</v>
      </c>
      <c r="N22" s="91">
        <v>0</v>
      </c>
      <c r="O22" s="92">
        <f t="shared" ref="O22:O23" si="6">M22-N22</f>
        <v>14880.300000000141</v>
      </c>
    </row>
    <row r="23" spans="1:15" ht="15.6" thickBot="1" x14ac:dyDescent="0.3">
      <c r="A23" s="85"/>
      <c r="B23" s="401"/>
      <c r="C23" s="393"/>
      <c r="D23" s="94" t="s">
        <v>36</v>
      </c>
      <c r="E23" s="95">
        <v>1054</v>
      </c>
      <c r="F23" s="89">
        <v>46163</v>
      </c>
      <c r="G23" s="95">
        <v>1100</v>
      </c>
      <c r="H23" s="89">
        <v>46197</v>
      </c>
      <c r="I23" s="86">
        <f>G23-E23</f>
        <v>46</v>
      </c>
      <c r="J23" s="86">
        <v>1000</v>
      </c>
      <c r="K23" s="93">
        <v>1200</v>
      </c>
      <c r="L23" s="383"/>
      <c r="M23" s="90">
        <f t="shared" si="5"/>
        <v>56200</v>
      </c>
      <c r="N23" s="98"/>
      <c r="O23" s="92">
        <f t="shared" si="6"/>
        <v>56200</v>
      </c>
    </row>
    <row r="24" spans="1:15" ht="15.6" thickBot="1" x14ac:dyDescent="0.3">
      <c r="A24" s="85"/>
      <c r="B24" s="401"/>
      <c r="C24" s="393"/>
      <c r="D24" s="117" t="s">
        <v>37</v>
      </c>
      <c r="E24" s="118"/>
      <c r="F24" s="119"/>
      <c r="G24" s="118"/>
      <c r="H24" s="119"/>
      <c r="I24" s="120">
        <v>1</v>
      </c>
      <c r="J24" s="120"/>
      <c r="K24" s="120">
        <v>25000</v>
      </c>
      <c r="L24" s="383"/>
      <c r="M24" s="90">
        <f t="shared" si="5"/>
        <v>25000</v>
      </c>
      <c r="N24" s="99"/>
      <c r="O24" s="92">
        <f t="shared" ref="O24:O27" si="7">M24+L24-N24</f>
        <v>25000</v>
      </c>
    </row>
    <row r="25" spans="1:15" ht="15.6" thickBot="1" x14ac:dyDescent="0.3">
      <c r="A25" s="85"/>
      <c r="B25" s="401"/>
      <c r="C25" s="393"/>
      <c r="D25" s="94" t="s">
        <v>90</v>
      </c>
      <c r="E25" s="95"/>
      <c r="F25" s="96"/>
      <c r="G25" s="95"/>
      <c r="H25" s="96"/>
      <c r="I25" s="93"/>
      <c r="J25" s="93"/>
      <c r="K25" s="93"/>
      <c r="L25" s="383"/>
      <c r="M25" s="90">
        <f t="shared" si="5"/>
        <v>0</v>
      </c>
      <c r="N25" s="98"/>
      <c r="O25" s="92">
        <f t="shared" si="7"/>
        <v>0</v>
      </c>
    </row>
    <row r="26" spans="1:15" ht="24.75" customHeight="1" thickBot="1" x14ac:dyDescent="0.3">
      <c r="A26" s="85"/>
      <c r="B26" s="401"/>
      <c r="C26" s="393"/>
      <c r="D26" s="94" t="s">
        <v>91</v>
      </c>
      <c r="E26" s="95"/>
      <c r="F26" s="96"/>
      <c r="G26" s="95"/>
      <c r="H26" s="96"/>
      <c r="I26" s="93">
        <v>1</v>
      </c>
      <c r="J26" s="93"/>
      <c r="K26" s="93">
        <v>2000</v>
      </c>
      <c r="L26" s="383"/>
      <c r="M26" s="90">
        <f t="shared" si="5"/>
        <v>2000</v>
      </c>
      <c r="N26" s="98"/>
      <c r="O26" s="92">
        <f t="shared" si="7"/>
        <v>2000</v>
      </c>
    </row>
    <row r="27" spans="1:15" ht="30.6" thickBot="1" x14ac:dyDescent="0.3">
      <c r="A27" s="85"/>
      <c r="B27" s="401"/>
      <c r="C27" s="393"/>
      <c r="D27" s="94" t="s">
        <v>92</v>
      </c>
      <c r="E27" s="95"/>
      <c r="F27" s="96"/>
      <c r="G27" s="95"/>
      <c r="H27" s="96"/>
      <c r="I27" s="93">
        <v>0</v>
      </c>
      <c r="J27" s="93"/>
      <c r="K27" s="93">
        <v>0</v>
      </c>
      <c r="L27" s="383"/>
      <c r="M27" s="90">
        <f t="shared" si="5"/>
        <v>0</v>
      </c>
      <c r="N27" s="98"/>
      <c r="O27" s="92">
        <f t="shared" si="7"/>
        <v>0</v>
      </c>
    </row>
    <row r="28" spans="1:15" x14ac:dyDescent="0.25">
      <c r="A28" s="85"/>
      <c r="B28" s="401"/>
      <c r="C28" s="393"/>
      <c r="D28" s="94" t="s">
        <v>189</v>
      </c>
      <c r="E28" s="95"/>
      <c r="F28" s="96"/>
      <c r="G28" s="95"/>
      <c r="H28" s="96"/>
      <c r="I28" s="93"/>
      <c r="J28" s="93"/>
      <c r="K28" s="93"/>
      <c r="L28" s="384"/>
      <c r="M28" s="90">
        <f t="shared" si="5"/>
        <v>0</v>
      </c>
      <c r="N28" s="98"/>
      <c r="O28" s="92">
        <f>L22</f>
        <v>-631.5</v>
      </c>
    </row>
    <row r="29" spans="1:15" ht="16.2" thickBot="1" x14ac:dyDescent="0.35">
      <c r="A29" s="135"/>
      <c r="B29" s="401"/>
      <c r="C29" s="393"/>
      <c r="D29" s="123" t="s">
        <v>38</v>
      </c>
      <c r="E29" s="124"/>
      <c r="F29" s="125"/>
      <c r="G29" s="124"/>
      <c r="H29" s="125"/>
      <c r="I29" s="126"/>
      <c r="J29" s="126"/>
      <c r="K29" s="126"/>
      <c r="L29" s="127"/>
      <c r="M29" s="127"/>
      <c r="N29" s="128"/>
      <c r="O29" s="107">
        <f>SUM(O22:O28)</f>
        <v>97448.800000000134</v>
      </c>
    </row>
    <row r="30" spans="1:15" ht="15.6" x14ac:dyDescent="0.3">
      <c r="A30" s="136"/>
      <c r="B30" s="401"/>
      <c r="C30" s="393"/>
      <c r="D30" s="112"/>
      <c r="E30" s="138"/>
      <c r="F30" s="139"/>
      <c r="G30" s="138"/>
      <c r="H30" s="139"/>
      <c r="L30" s="140"/>
      <c r="M30" s="140"/>
      <c r="N30" s="141"/>
      <c r="O30" s="142"/>
    </row>
    <row r="31" spans="1:15" ht="16.2" thickBot="1" x14ac:dyDescent="0.35">
      <c r="A31" s="136"/>
      <c r="B31" s="401"/>
      <c r="C31" s="393"/>
      <c r="D31" s="112"/>
      <c r="E31" s="138"/>
      <c r="F31" s="139"/>
      <c r="G31" s="138"/>
      <c r="H31" s="139"/>
      <c r="L31" s="140"/>
      <c r="M31" s="140"/>
      <c r="N31" s="141"/>
      <c r="O31" s="142"/>
    </row>
    <row r="32" spans="1:15" ht="31.8" thickBot="1" x14ac:dyDescent="0.3">
      <c r="A32" s="143"/>
      <c r="B32" s="143" t="s">
        <v>0</v>
      </c>
      <c r="C32" s="144" t="s">
        <v>1</v>
      </c>
      <c r="D32" s="143"/>
      <c r="E32" s="144" t="s">
        <v>198</v>
      </c>
      <c r="F32" s="145" t="s">
        <v>194</v>
      </c>
      <c r="G32" s="144" t="s">
        <v>196</v>
      </c>
      <c r="H32" s="145" t="s">
        <v>9</v>
      </c>
      <c r="I32" s="143" t="s">
        <v>2</v>
      </c>
      <c r="J32" s="77" t="s">
        <v>39</v>
      </c>
      <c r="K32" s="144" t="s">
        <v>13</v>
      </c>
      <c r="L32" s="144" t="s">
        <v>14</v>
      </c>
      <c r="M32" s="146" t="s">
        <v>15</v>
      </c>
      <c r="N32" s="147" t="s">
        <v>11</v>
      </c>
      <c r="O32" s="148" t="s">
        <v>12</v>
      </c>
    </row>
    <row r="33" spans="1:15" ht="15.6" thickBot="1" x14ac:dyDescent="0.3">
      <c r="A33" s="85">
        <v>1</v>
      </c>
      <c r="B33" s="400" t="s">
        <v>95</v>
      </c>
      <c r="C33" s="392">
        <v>104</v>
      </c>
      <c r="D33" s="87" t="s">
        <v>35</v>
      </c>
      <c r="E33" s="88">
        <v>5851.9</v>
      </c>
      <c r="F33" s="171">
        <v>46163</v>
      </c>
      <c r="G33" s="88">
        <v>5899.9</v>
      </c>
      <c r="H33" s="171">
        <v>46197</v>
      </c>
      <c r="I33" s="86">
        <f>G33-E33</f>
        <v>48</v>
      </c>
      <c r="J33" s="86"/>
      <c r="K33" s="86">
        <v>257</v>
      </c>
      <c r="L33" s="382">
        <v>27</v>
      </c>
      <c r="M33" s="90">
        <f t="shared" ref="M33:M39" si="8">I33*K33+J33</f>
        <v>12336</v>
      </c>
      <c r="N33" s="91">
        <v>0</v>
      </c>
      <c r="O33" s="92">
        <f t="shared" ref="O33:O34" si="9">M33-N33</f>
        <v>12336</v>
      </c>
    </row>
    <row r="34" spans="1:15" ht="15.6" thickBot="1" x14ac:dyDescent="0.3">
      <c r="A34" s="85"/>
      <c r="B34" s="401"/>
      <c r="C34" s="393"/>
      <c r="D34" s="94" t="s">
        <v>36</v>
      </c>
      <c r="E34" s="95">
        <v>339</v>
      </c>
      <c r="F34" s="171">
        <v>46163</v>
      </c>
      <c r="G34" s="95">
        <v>348</v>
      </c>
      <c r="H34" s="171">
        <v>46197</v>
      </c>
      <c r="I34" s="86">
        <f>G34-E34</f>
        <v>9</v>
      </c>
      <c r="J34" s="86">
        <v>1000</v>
      </c>
      <c r="K34" s="93">
        <v>1200</v>
      </c>
      <c r="L34" s="383"/>
      <c r="M34" s="90">
        <f t="shared" si="8"/>
        <v>11800</v>
      </c>
      <c r="N34" s="98"/>
      <c r="O34" s="92">
        <f t="shared" si="9"/>
        <v>11800</v>
      </c>
    </row>
    <row r="35" spans="1:15" ht="15.6" thickBot="1" x14ac:dyDescent="0.3">
      <c r="A35" s="85"/>
      <c r="B35" s="401"/>
      <c r="C35" s="393"/>
      <c r="D35" s="117" t="s">
        <v>37</v>
      </c>
      <c r="E35" s="118"/>
      <c r="F35" s="119"/>
      <c r="G35" s="118"/>
      <c r="H35" s="119"/>
      <c r="I35" s="120">
        <v>1</v>
      </c>
      <c r="J35" s="120"/>
      <c r="K35" s="120">
        <v>25000</v>
      </c>
      <c r="L35" s="383"/>
      <c r="M35" s="90">
        <f t="shared" si="8"/>
        <v>25000</v>
      </c>
      <c r="N35" s="99"/>
      <c r="O35" s="92">
        <f t="shared" ref="O35:O38" si="10">M35+L35-N35</f>
        <v>25000</v>
      </c>
    </row>
    <row r="36" spans="1:15" ht="15.6" thickBot="1" x14ac:dyDescent="0.3">
      <c r="A36" s="85"/>
      <c r="B36" s="401"/>
      <c r="C36" s="393"/>
      <c r="D36" s="94" t="s">
        <v>90</v>
      </c>
      <c r="E36" s="95"/>
      <c r="F36" s="96"/>
      <c r="G36" s="95"/>
      <c r="H36" s="96"/>
      <c r="I36" s="93"/>
      <c r="J36" s="93"/>
      <c r="K36" s="93"/>
      <c r="L36" s="383"/>
      <c r="M36" s="90">
        <f t="shared" si="8"/>
        <v>0</v>
      </c>
      <c r="N36" s="98"/>
      <c r="O36" s="92">
        <f t="shared" si="10"/>
        <v>0</v>
      </c>
    </row>
    <row r="37" spans="1:15" ht="15.6" thickBot="1" x14ac:dyDescent="0.3">
      <c r="A37" s="85"/>
      <c r="B37" s="401"/>
      <c r="C37" s="393"/>
      <c r="D37" s="94" t="s">
        <v>91</v>
      </c>
      <c r="E37" s="95"/>
      <c r="F37" s="96"/>
      <c r="G37" s="95"/>
      <c r="H37" s="96"/>
      <c r="I37" s="93">
        <v>1</v>
      </c>
      <c r="J37" s="93"/>
      <c r="K37" s="93">
        <v>2000</v>
      </c>
      <c r="L37" s="383"/>
      <c r="M37" s="90">
        <f t="shared" si="8"/>
        <v>2000</v>
      </c>
      <c r="N37" s="98"/>
      <c r="O37" s="92">
        <f t="shared" si="10"/>
        <v>2000</v>
      </c>
    </row>
    <row r="38" spans="1:15" ht="30.6" thickBot="1" x14ac:dyDescent="0.3">
      <c r="A38" s="85"/>
      <c r="B38" s="401"/>
      <c r="C38" s="393"/>
      <c r="D38" s="94" t="s">
        <v>92</v>
      </c>
      <c r="E38" s="95"/>
      <c r="F38" s="96"/>
      <c r="G38" s="95"/>
      <c r="H38" s="96"/>
      <c r="I38" s="93">
        <v>0</v>
      </c>
      <c r="J38" s="93"/>
      <c r="K38" s="93">
        <v>0</v>
      </c>
      <c r="L38" s="383"/>
      <c r="M38" s="90">
        <f t="shared" si="8"/>
        <v>0</v>
      </c>
      <c r="N38" s="98"/>
      <c r="O38" s="92">
        <f t="shared" si="10"/>
        <v>0</v>
      </c>
    </row>
    <row r="39" spans="1:15" x14ac:dyDescent="0.25">
      <c r="A39" s="85"/>
      <c r="B39" s="401"/>
      <c r="C39" s="393"/>
      <c r="D39" s="94" t="s">
        <v>189</v>
      </c>
      <c r="E39" s="95"/>
      <c r="F39" s="96"/>
      <c r="G39" s="95"/>
      <c r="H39" s="96"/>
      <c r="I39" s="93"/>
      <c r="J39" s="93"/>
      <c r="K39" s="93"/>
      <c r="L39" s="384"/>
      <c r="M39" s="90">
        <f t="shared" si="8"/>
        <v>0</v>
      </c>
      <c r="N39" s="98"/>
      <c r="O39" s="92">
        <f>L33</f>
        <v>27</v>
      </c>
    </row>
    <row r="40" spans="1:15" ht="16.2" thickBot="1" x14ac:dyDescent="0.35">
      <c r="A40" s="143"/>
      <c r="B40" s="401"/>
      <c r="C40" s="393"/>
      <c r="D40" s="123" t="s">
        <v>38</v>
      </c>
      <c r="E40" s="124"/>
      <c r="F40" s="125"/>
      <c r="G40" s="124"/>
      <c r="H40" s="125"/>
      <c r="I40" s="126"/>
      <c r="J40" s="126"/>
      <c r="K40" s="126"/>
      <c r="L40" s="127"/>
      <c r="M40" s="127"/>
      <c r="N40" s="128"/>
      <c r="O40" s="107">
        <f>SUM(O33:O39)</f>
        <v>51163</v>
      </c>
    </row>
    <row r="41" spans="1:15" ht="31.8" thickBot="1" x14ac:dyDescent="0.3">
      <c r="A41" s="143"/>
      <c r="B41" s="143" t="s">
        <v>0</v>
      </c>
      <c r="C41" s="144" t="s">
        <v>1</v>
      </c>
      <c r="D41" s="143"/>
      <c r="E41" s="144" t="s">
        <v>198</v>
      </c>
      <c r="F41" s="145" t="s">
        <v>194</v>
      </c>
      <c r="G41" s="144" t="s">
        <v>196</v>
      </c>
      <c r="H41" s="145" t="s">
        <v>9</v>
      </c>
      <c r="I41" s="143" t="s">
        <v>2</v>
      </c>
      <c r="J41" s="77" t="s">
        <v>39</v>
      </c>
      <c r="K41" s="144" t="s">
        <v>13</v>
      </c>
      <c r="L41" s="144" t="s">
        <v>96</v>
      </c>
      <c r="M41" s="146" t="s">
        <v>15</v>
      </c>
      <c r="N41" s="147" t="s">
        <v>11</v>
      </c>
      <c r="O41" s="148" t="s">
        <v>12</v>
      </c>
    </row>
    <row r="42" spans="1:15" ht="15.6" thickBot="1" x14ac:dyDescent="0.3">
      <c r="A42" s="85">
        <v>1</v>
      </c>
      <c r="B42" s="400" t="s">
        <v>97</v>
      </c>
      <c r="C42" s="392">
        <v>105</v>
      </c>
      <c r="D42" s="87" t="s">
        <v>35</v>
      </c>
      <c r="E42" s="159">
        <v>3858.26</v>
      </c>
      <c r="F42" s="171">
        <v>46163</v>
      </c>
      <c r="G42" s="159">
        <v>3935.2</v>
      </c>
      <c r="H42" s="171">
        <v>46197</v>
      </c>
      <c r="I42" s="86">
        <f>G42-E42</f>
        <v>76.9399999999996</v>
      </c>
      <c r="J42" s="86"/>
      <c r="K42" s="86">
        <v>257</v>
      </c>
      <c r="L42" s="382">
        <v>0.12</v>
      </c>
      <c r="M42" s="90">
        <f t="shared" ref="M42:M48" si="11">I42*K42+J42</f>
        <v>19773.579999999896</v>
      </c>
      <c r="N42" s="91">
        <v>0</v>
      </c>
      <c r="O42" s="92">
        <f t="shared" ref="O42:O43" si="12">M42-N42</f>
        <v>19773.579999999896</v>
      </c>
    </row>
    <row r="43" spans="1:15" ht="15.6" thickBot="1" x14ac:dyDescent="0.3">
      <c r="A43" s="85"/>
      <c r="B43" s="401"/>
      <c r="C43" s="393"/>
      <c r="D43" s="94" t="s">
        <v>36</v>
      </c>
      <c r="E43" s="156">
        <v>781</v>
      </c>
      <c r="F43" s="171">
        <v>46163</v>
      </c>
      <c r="G43" s="156">
        <v>807</v>
      </c>
      <c r="H43" s="171">
        <v>46197</v>
      </c>
      <c r="I43" s="86">
        <f>G43-E43</f>
        <v>26</v>
      </c>
      <c r="J43" s="86">
        <v>1000</v>
      </c>
      <c r="K43" s="93">
        <v>1200</v>
      </c>
      <c r="L43" s="383"/>
      <c r="M43" s="90">
        <f t="shared" si="11"/>
        <v>32200</v>
      </c>
      <c r="N43" s="98"/>
      <c r="O43" s="92">
        <f t="shared" si="12"/>
        <v>32200</v>
      </c>
    </row>
    <row r="44" spans="1:15" ht="15.6" thickBot="1" x14ac:dyDescent="0.3">
      <c r="A44" s="85"/>
      <c r="B44" s="401"/>
      <c r="C44" s="393"/>
      <c r="D44" s="117" t="s">
        <v>37</v>
      </c>
      <c r="E44" s="118"/>
      <c r="F44" s="119"/>
      <c r="G44" s="118"/>
      <c r="H44" s="119"/>
      <c r="I44" s="120">
        <v>1</v>
      </c>
      <c r="J44" s="120"/>
      <c r="K44" s="120">
        <v>25000</v>
      </c>
      <c r="L44" s="383"/>
      <c r="M44" s="90">
        <f t="shared" si="11"/>
        <v>25000</v>
      </c>
      <c r="N44" s="99"/>
      <c r="O44" s="92">
        <f t="shared" ref="O44:O47" si="13">M44+L44-N44</f>
        <v>25000</v>
      </c>
    </row>
    <row r="45" spans="1:15" ht="15.6" thickBot="1" x14ac:dyDescent="0.3">
      <c r="A45" s="85"/>
      <c r="B45" s="401"/>
      <c r="C45" s="393"/>
      <c r="D45" s="94" t="s">
        <v>90</v>
      </c>
      <c r="E45" s="95"/>
      <c r="F45" s="96"/>
      <c r="G45" s="95"/>
      <c r="H45" s="96"/>
      <c r="I45" s="93"/>
      <c r="J45" s="93"/>
      <c r="K45" s="93"/>
      <c r="L45" s="383"/>
      <c r="M45" s="90">
        <f t="shared" si="11"/>
        <v>0</v>
      </c>
      <c r="N45" s="98"/>
      <c r="O45" s="92">
        <f t="shared" si="13"/>
        <v>0</v>
      </c>
    </row>
    <row r="46" spans="1:15" ht="15.6" thickBot="1" x14ac:dyDescent="0.3">
      <c r="A46" s="85"/>
      <c r="B46" s="401"/>
      <c r="C46" s="393"/>
      <c r="D46" s="94" t="s">
        <v>91</v>
      </c>
      <c r="E46" s="95"/>
      <c r="F46" s="96"/>
      <c r="G46" s="95"/>
      <c r="H46" s="96"/>
      <c r="I46" s="93">
        <v>2</v>
      </c>
      <c r="J46" s="93"/>
      <c r="K46" s="93">
        <v>2000</v>
      </c>
      <c r="L46" s="383"/>
      <c r="M46" s="90">
        <f t="shared" si="11"/>
        <v>4000</v>
      </c>
      <c r="N46" s="98"/>
      <c r="O46" s="92">
        <f t="shared" si="13"/>
        <v>4000</v>
      </c>
    </row>
    <row r="47" spans="1:15" ht="30.6" thickBot="1" x14ac:dyDescent="0.3">
      <c r="A47" s="85"/>
      <c r="B47" s="401"/>
      <c r="C47" s="393"/>
      <c r="D47" s="94" t="s">
        <v>92</v>
      </c>
      <c r="E47" s="95"/>
      <c r="F47" s="96"/>
      <c r="G47" s="95"/>
      <c r="H47" s="96"/>
      <c r="I47" s="93">
        <v>0</v>
      </c>
      <c r="J47" s="93"/>
      <c r="K47" s="93">
        <v>0</v>
      </c>
      <c r="L47" s="383"/>
      <c r="M47" s="90">
        <f t="shared" si="11"/>
        <v>0</v>
      </c>
      <c r="N47" s="98"/>
      <c r="O47" s="92">
        <f t="shared" si="13"/>
        <v>0</v>
      </c>
    </row>
    <row r="48" spans="1:15" x14ac:dyDescent="0.25">
      <c r="A48" s="85"/>
      <c r="B48" s="401"/>
      <c r="C48" s="393"/>
      <c r="D48" s="94" t="s">
        <v>189</v>
      </c>
      <c r="E48" s="95"/>
      <c r="F48" s="96"/>
      <c r="G48" s="95"/>
      <c r="H48" s="96"/>
      <c r="I48" s="93"/>
      <c r="J48" s="93"/>
      <c r="K48" s="93"/>
      <c r="L48" s="384"/>
      <c r="M48" s="90">
        <f t="shared" si="11"/>
        <v>0</v>
      </c>
      <c r="N48" s="98"/>
      <c r="O48" s="92">
        <f>L42</f>
        <v>0.12</v>
      </c>
    </row>
    <row r="49" spans="1:15" ht="16.2" thickBot="1" x14ac:dyDescent="0.35">
      <c r="A49" s="143"/>
      <c r="B49" s="413"/>
      <c r="C49" s="394"/>
      <c r="D49" s="123" t="s">
        <v>38</v>
      </c>
      <c r="E49" s="124"/>
      <c r="F49" s="125"/>
      <c r="G49" s="124"/>
      <c r="H49" s="125"/>
      <c r="I49" s="126"/>
      <c r="J49" s="126"/>
      <c r="K49" s="126"/>
      <c r="L49" s="127"/>
      <c r="M49" s="127"/>
      <c r="N49" s="128"/>
      <c r="O49" s="107">
        <f>SUM(O42:O48)</f>
        <v>80973.699999999895</v>
      </c>
    </row>
    <row r="50" spans="1:15" ht="15.6" x14ac:dyDescent="0.3">
      <c r="A50" s="143"/>
      <c r="B50" s="258"/>
      <c r="C50" s="137"/>
      <c r="D50" s="112"/>
      <c r="E50" s="138"/>
      <c r="F50" s="139"/>
      <c r="G50" s="138"/>
      <c r="H50" s="139"/>
      <c r="L50" s="140"/>
      <c r="M50" s="140"/>
      <c r="N50" s="141"/>
      <c r="O50" s="142"/>
    </row>
    <row r="51" spans="1:15" ht="16.2" thickBot="1" x14ac:dyDescent="0.35">
      <c r="A51" s="143"/>
      <c r="B51" s="93"/>
      <c r="C51" s="93"/>
      <c r="D51" s="112"/>
      <c r="E51" s="138"/>
      <c r="F51" s="139"/>
      <c r="G51" s="138"/>
      <c r="H51" s="139"/>
      <c r="L51" s="140"/>
      <c r="M51" s="140"/>
      <c r="N51" s="141"/>
      <c r="O51" s="142"/>
    </row>
    <row r="52" spans="1:15" ht="31.8" thickBot="1" x14ac:dyDescent="0.3">
      <c r="A52" s="143"/>
      <c r="B52" s="143" t="s">
        <v>0</v>
      </c>
      <c r="C52" s="144" t="s">
        <v>1</v>
      </c>
      <c r="D52" s="143"/>
      <c r="E52" s="144" t="s">
        <v>198</v>
      </c>
      <c r="F52" s="145" t="s">
        <v>194</v>
      </c>
      <c r="G52" s="144" t="s">
        <v>196</v>
      </c>
      <c r="H52" s="145" t="s">
        <v>9</v>
      </c>
      <c r="I52" s="143" t="s">
        <v>2</v>
      </c>
      <c r="J52" s="77" t="s">
        <v>39</v>
      </c>
      <c r="K52" s="144" t="s">
        <v>13</v>
      </c>
      <c r="L52" s="144" t="s">
        <v>14</v>
      </c>
      <c r="M52" s="146" t="s">
        <v>15</v>
      </c>
      <c r="N52" s="147" t="s">
        <v>11</v>
      </c>
      <c r="O52" s="148" t="s">
        <v>12</v>
      </c>
    </row>
    <row r="53" spans="1:15" ht="15.6" thickBot="1" x14ac:dyDescent="0.3">
      <c r="A53" s="85">
        <v>1</v>
      </c>
      <c r="B53" s="405" t="s">
        <v>98</v>
      </c>
      <c r="C53" s="392">
        <v>106</v>
      </c>
      <c r="D53" s="87" t="s">
        <v>35</v>
      </c>
      <c r="E53" s="88">
        <v>554.5</v>
      </c>
      <c r="F53" s="89">
        <v>46163</v>
      </c>
      <c r="G53" s="88">
        <v>570.20000000000005</v>
      </c>
      <c r="H53" s="89">
        <v>46197</v>
      </c>
      <c r="I53" s="86">
        <f>G53-E53</f>
        <v>15.700000000000045</v>
      </c>
      <c r="J53" s="86"/>
      <c r="K53" s="86">
        <v>257</v>
      </c>
      <c r="L53" s="382">
        <v>530.1</v>
      </c>
      <c r="M53" s="90">
        <f t="shared" ref="M53:M59" si="14">I53*K53+J53</f>
        <v>4034.9000000000115</v>
      </c>
      <c r="N53" s="91">
        <v>0</v>
      </c>
      <c r="O53" s="92">
        <f t="shared" ref="O53:O54" si="15">M53-N53</f>
        <v>4034.9000000000115</v>
      </c>
    </row>
    <row r="54" spans="1:15" ht="15.6" thickBot="1" x14ac:dyDescent="0.3">
      <c r="A54" s="85"/>
      <c r="B54" s="406"/>
      <c r="C54" s="393"/>
      <c r="D54" s="94" t="s">
        <v>36</v>
      </c>
      <c r="E54" s="95">
        <v>433</v>
      </c>
      <c r="F54" s="89">
        <v>46163</v>
      </c>
      <c r="G54" s="95">
        <v>448</v>
      </c>
      <c r="H54" s="89">
        <v>46197</v>
      </c>
      <c r="I54" s="86">
        <f>G54-E54</f>
        <v>15</v>
      </c>
      <c r="J54" s="86">
        <v>1000</v>
      </c>
      <c r="K54" s="93">
        <v>1200</v>
      </c>
      <c r="L54" s="383"/>
      <c r="M54" s="90">
        <f t="shared" si="14"/>
        <v>19000</v>
      </c>
      <c r="N54" s="98"/>
      <c r="O54" s="92">
        <f t="shared" si="15"/>
        <v>19000</v>
      </c>
    </row>
    <row r="55" spans="1:15" ht="15.6" thickBot="1" x14ac:dyDescent="0.3">
      <c r="A55" s="85"/>
      <c r="B55" s="406"/>
      <c r="C55" s="393"/>
      <c r="D55" s="117" t="s">
        <v>37</v>
      </c>
      <c r="E55" s="118"/>
      <c r="F55" s="119"/>
      <c r="G55" s="118"/>
      <c r="H55" s="119"/>
      <c r="I55" s="120">
        <v>1</v>
      </c>
      <c r="J55" s="120"/>
      <c r="K55" s="120">
        <v>25000</v>
      </c>
      <c r="L55" s="383"/>
      <c r="M55" s="90">
        <f t="shared" si="14"/>
        <v>25000</v>
      </c>
      <c r="N55" s="99"/>
      <c r="O55" s="92">
        <f t="shared" ref="O55:O58" si="16">M55+L55-N55</f>
        <v>25000</v>
      </c>
    </row>
    <row r="56" spans="1:15" ht="15.6" thickBot="1" x14ac:dyDescent="0.3">
      <c r="A56" s="85"/>
      <c r="B56" s="406"/>
      <c r="C56" s="393"/>
      <c r="D56" s="94" t="s">
        <v>90</v>
      </c>
      <c r="E56" s="95"/>
      <c r="F56" s="96"/>
      <c r="G56" s="95"/>
      <c r="H56" s="96"/>
      <c r="I56" s="93"/>
      <c r="J56" s="93"/>
      <c r="K56" s="93"/>
      <c r="L56" s="383"/>
      <c r="M56" s="90">
        <f t="shared" si="14"/>
        <v>0</v>
      </c>
      <c r="N56" s="98"/>
      <c r="O56" s="92">
        <f t="shared" si="16"/>
        <v>0</v>
      </c>
    </row>
    <row r="57" spans="1:15" ht="15.6" thickBot="1" x14ac:dyDescent="0.3">
      <c r="A57" s="85"/>
      <c r="B57" s="406"/>
      <c r="C57" s="393"/>
      <c r="D57" s="94" t="s">
        <v>91</v>
      </c>
      <c r="E57" s="95"/>
      <c r="F57" s="96"/>
      <c r="G57" s="95"/>
      <c r="H57" s="96"/>
      <c r="I57" s="93">
        <v>1</v>
      </c>
      <c r="J57" s="93"/>
      <c r="K57" s="93">
        <v>2000</v>
      </c>
      <c r="L57" s="383"/>
      <c r="M57" s="90">
        <f t="shared" si="14"/>
        <v>2000</v>
      </c>
      <c r="N57" s="98"/>
      <c r="O57" s="92">
        <f t="shared" si="16"/>
        <v>2000</v>
      </c>
    </row>
    <row r="58" spans="1:15" ht="30.6" thickBot="1" x14ac:dyDescent="0.3">
      <c r="A58" s="85"/>
      <c r="B58" s="406"/>
      <c r="C58" s="393"/>
      <c r="D58" s="94" t="s">
        <v>92</v>
      </c>
      <c r="E58" s="95"/>
      <c r="F58" s="96"/>
      <c r="G58" s="95"/>
      <c r="H58" s="96"/>
      <c r="I58" s="93">
        <v>0</v>
      </c>
      <c r="J58" s="93"/>
      <c r="K58" s="93">
        <v>0</v>
      </c>
      <c r="L58" s="383"/>
      <c r="M58" s="90">
        <f t="shared" si="14"/>
        <v>0</v>
      </c>
      <c r="N58" s="98"/>
      <c r="O58" s="92">
        <f t="shared" si="16"/>
        <v>0</v>
      </c>
    </row>
    <row r="59" spans="1:15" x14ac:dyDescent="0.25">
      <c r="A59" s="85"/>
      <c r="B59" s="406"/>
      <c r="C59" s="393"/>
      <c r="D59" s="94" t="s">
        <v>189</v>
      </c>
      <c r="E59" s="95"/>
      <c r="F59" s="96"/>
      <c r="G59" s="95"/>
      <c r="H59" s="96"/>
      <c r="I59" s="93"/>
      <c r="J59" s="93"/>
      <c r="K59" s="93"/>
      <c r="L59" s="384"/>
      <c r="M59" s="90">
        <f t="shared" si="14"/>
        <v>0</v>
      </c>
      <c r="N59" s="98"/>
      <c r="O59" s="92">
        <f>L53</f>
        <v>530.1</v>
      </c>
    </row>
    <row r="60" spans="1:15" ht="16.2" thickBot="1" x14ac:dyDescent="0.35">
      <c r="A60" s="143"/>
      <c r="B60" s="407"/>
      <c r="C60" s="394"/>
      <c r="D60" s="123" t="s">
        <v>38</v>
      </c>
      <c r="E60" s="124"/>
      <c r="F60" s="125"/>
      <c r="G60" s="124"/>
      <c r="H60" s="125"/>
      <c r="I60" s="126"/>
      <c r="J60" s="126"/>
      <c r="K60" s="126"/>
      <c r="L60" s="127"/>
      <c r="M60" s="127"/>
      <c r="N60" s="128"/>
      <c r="O60" s="107">
        <f>SUM(O53:O59)</f>
        <v>50565.000000000007</v>
      </c>
    </row>
    <row r="61" spans="1:15" ht="15.6" x14ac:dyDescent="0.3">
      <c r="A61" s="264"/>
      <c r="B61" s="257"/>
      <c r="C61" s="259"/>
      <c r="E61" s="138"/>
      <c r="F61" s="139"/>
      <c r="G61" s="138"/>
      <c r="H61" s="139"/>
      <c r="L61" s="140"/>
      <c r="M61" s="140"/>
      <c r="N61" s="141"/>
      <c r="O61" s="142"/>
    </row>
    <row r="62" spans="1:15" ht="15.6" x14ac:dyDescent="0.3">
      <c r="A62" s="264"/>
      <c r="B62" s="257"/>
      <c r="C62" s="259"/>
      <c r="E62" s="138"/>
      <c r="F62" s="139"/>
      <c r="G62" s="138"/>
      <c r="H62" s="139"/>
      <c r="L62" s="140"/>
      <c r="M62" s="140"/>
      <c r="N62" s="141"/>
      <c r="O62" s="142"/>
    </row>
    <row r="63" spans="1:15" ht="15.6" x14ac:dyDescent="0.3">
      <c r="A63" s="264"/>
      <c r="B63" s="257"/>
      <c r="C63" s="259"/>
      <c r="E63" s="138"/>
      <c r="F63" s="139"/>
      <c r="G63" s="138"/>
      <c r="H63" s="139"/>
      <c r="L63" s="140"/>
      <c r="M63" s="140"/>
      <c r="N63" s="141"/>
      <c r="O63" s="142"/>
    </row>
    <row r="64" spans="1:15" ht="15.6" x14ac:dyDescent="0.3">
      <c r="A64" s="264"/>
      <c r="B64" s="257"/>
      <c r="C64" s="259"/>
      <c r="E64" s="138"/>
      <c r="F64" s="139"/>
      <c r="G64" s="138"/>
      <c r="H64" s="139"/>
      <c r="L64" s="140"/>
      <c r="M64" s="140"/>
      <c r="N64" s="141"/>
      <c r="O64" s="142"/>
    </row>
    <row r="65" spans="1:15" ht="16.2" thickBot="1" x14ac:dyDescent="0.35">
      <c r="A65" s="264"/>
      <c r="B65" s="257"/>
      <c r="C65" s="259"/>
      <c r="E65" s="138"/>
      <c r="F65" s="139"/>
      <c r="G65" s="138"/>
      <c r="H65" s="139"/>
      <c r="L65" s="140"/>
      <c r="M65" s="140"/>
      <c r="N65" s="141"/>
      <c r="O65" s="142"/>
    </row>
    <row r="66" spans="1:15" ht="31.8" thickBot="1" x14ac:dyDescent="0.3">
      <c r="A66" s="143"/>
      <c r="B66" s="143" t="s">
        <v>0</v>
      </c>
      <c r="C66" s="144" t="s">
        <v>1</v>
      </c>
      <c r="D66" s="143"/>
      <c r="E66" s="144" t="s">
        <v>198</v>
      </c>
      <c r="F66" s="145" t="s">
        <v>194</v>
      </c>
      <c r="G66" s="144" t="s">
        <v>196</v>
      </c>
      <c r="H66" s="145" t="s">
        <v>9</v>
      </c>
      <c r="I66" s="143" t="s">
        <v>2</v>
      </c>
      <c r="J66" s="77" t="s">
        <v>39</v>
      </c>
      <c r="K66" s="144" t="s">
        <v>13</v>
      </c>
      <c r="L66" s="144" t="s">
        <v>14</v>
      </c>
      <c r="M66" s="146" t="s">
        <v>15</v>
      </c>
      <c r="N66" s="147" t="s">
        <v>11</v>
      </c>
      <c r="O66" s="148" t="s">
        <v>12</v>
      </c>
    </row>
    <row r="67" spans="1:15" ht="15.6" thickBot="1" x14ac:dyDescent="0.3">
      <c r="A67" s="85">
        <v>1</v>
      </c>
      <c r="B67" s="405" t="s">
        <v>99</v>
      </c>
      <c r="C67" s="392">
        <v>201</v>
      </c>
      <c r="D67" s="87" t="s">
        <v>35</v>
      </c>
      <c r="E67" s="88">
        <v>1923.4</v>
      </c>
      <c r="F67" s="171">
        <v>46163</v>
      </c>
      <c r="G67" s="88">
        <v>1926</v>
      </c>
      <c r="H67" s="171">
        <v>46197</v>
      </c>
      <c r="I67" s="86">
        <f>G67-E67</f>
        <v>2.5999999999999091</v>
      </c>
      <c r="J67" s="86"/>
      <c r="K67" s="86">
        <v>257</v>
      </c>
      <c r="L67" s="426">
        <v>0.2</v>
      </c>
      <c r="M67" s="90">
        <f t="shared" ref="M67:M73" si="17">I67*K67+J67</f>
        <v>668.19999999997663</v>
      </c>
      <c r="N67" s="91">
        <v>0</v>
      </c>
      <c r="O67" s="92">
        <f t="shared" ref="O67:O68" si="18">M67-N67</f>
        <v>668.19999999997663</v>
      </c>
    </row>
    <row r="68" spans="1:15" ht="15.6" thickBot="1" x14ac:dyDescent="0.3">
      <c r="A68" s="85"/>
      <c r="B68" s="406"/>
      <c r="C68" s="393"/>
      <c r="D68" s="94" t="s">
        <v>36</v>
      </c>
      <c r="E68" s="95">
        <v>398</v>
      </c>
      <c r="F68" s="171">
        <v>46163</v>
      </c>
      <c r="G68" s="95">
        <v>412</v>
      </c>
      <c r="H68" s="171">
        <v>46197</v>
      </c>
      <c r="I68" s="86">
        <f>G68-E68</f>
        <v>14</v>
      </c>
      <c r="J68" s="86">
        <v>1000</v>
      </c>
      <c r="K68" s="93">
        <v>1200</v>
      </c>
      <c r="L68" s="427"/>
      <c r="M68" s="90">
        <f t="shared" si="17"/>
        <v>17800</v>
      </c>
      <c r="N68" s="98"/>
      <c r="O68" s="92">
        <f t="shared" si="18"/>
        <v>17800</v>
      </c>
    </row>
    <row r="69" spans="1:15" ht="15.6" thickBot="1" x14ac:dyDescent="0.3">
      <c r="A69" s="85"/>
      <c r="B69" s="406"/>
      <c r="C69" s="393"/>
      <c r="D69" s="117" t="s">
        <v>37</v>
      </c>
      <c r="E69" s="118"/>
      <c r="F69" s="119"/>
      <c r="G69" s="118"/>
      <c r="H69" s="119"/>
      <c r="I69" s="120">
        <v>1</v>
      </c>
      <c r="J69" s="120"/>
      <c r="K69" s="120">
        <v>25000</v>
      </c>
      <c r="L69" s="427"/>
      <c r="M69" s="90">
        <f t="shared" si="17"/>
        <v>25000</v>
      </c>
      <c r="N69" s="99"/>
      <c r="O69" s="92">
        <f t="shared" ref="O69:O72" si="19">M69+L69-N69</f>
        <v>25000</v>
      </c>
    </row>
    <row r="70" spans="1:15" ht="15.6" thickBot="1" x14ac:dyDescent="0.3">
      <c r="A70" s="85"/>
      <c r="B70" s="406"/>
      <c r="C70" s="393"/>
      <c r="D70" s="94" t="s">
        <v>90</v>
      </c>
      <c r="E70" s="95"/>
      <c r="F70" s="96"/>
      <c r="G70" s="95"/>
      <c r="H70" s="96"/>
      <c r="I70" s="93"/>
      <c r="J70" s="93"/>
      <c r="K70" s="93"/>
      <c r="L70" s="427"/>
      <c r="M70" s="90">
        <f t="shared" si="17"/>
        <v>0</v>
      </c>
      <c r="N70" s="98"/>
      <c r="O70" s="92">
        <f t="shared" si="19"/>
        <v>0</v>
      </c>
    </row>
    <row r="71" spans="1:15" ht="15.6" thickBot="1" x14ac:dyDescent="0.3">
      <c r="A71" s="85"/>
      <c r="B71" s="406"/>
      <c r="C71" s="393"/>
      <c r="D71" s="94" t="s">
        <v>91</v>
      </c>
      <c r="E71" s="95"/>
      <c r="F71" s="96"/>
      <c r="G71" s="95"/>
      <c r="H71" s="96"/>
      <c r="I71" s="93">
        <v>1</v>
      </c>
      <c r="J71" s="93"/>
      <c r="K71" s="93">
        <v>2000</v>
      </c>
      <c r="L71" s="427"/>
      <c r="M71" s="90">
        <f t="shared" si="17"/>
        <v>2000</v>
      </c>
      <c r="N71" s="98"/>
      <c r="O71" s="92">
        <f t="shared" si="19"/>
        <v>2000</v>
      </c>
    </row>
    <row r="72" spans="1:15" ht="30.6" thickBot="1" x14ac:dyDescent="0.3">
      <c r="A72" s="85"/>
      <c r="B72" s="406"/>
      <c r="C72" s="393"/>
      <c r="D72" s="94" t="s">
        <v>92</v>
      </c>
      <c r="E72" s="95"/>
      <c r="F72" s="96"/>
      <c r="G72" s="95"/>
      <c r="H72" s="96"/>
      <c r="I72" s="93">
        <v>0</v>
      </c>
      <c r="J72" s="93"/>
      <c r="K72" s="93">
        <v>0</v>
      </c>
      <c r="L72" s="427"/>
      <c r="M72" s="90">
        <f t="shared" si="17"/>
        <v>0</v>
      </c>
      <c r="N72" s="98"/>
      <c r="O72" s="92">
        <f t="shared" si="19"/>
        <v>0</v>
      </c>
    </row>
    <row r="73" spans="1:15" x14ac:dyDescent="0.25">
      <c r="A73" s="85"/>
      <c r="B73" s="406"/>
      <c r="C73" s="393"/>
      <c r="D73" s="94" t="s">
        <v>189</v>
      </c>
      <c r="E73" s="95"/>
      <c r="F73" s="96"/>
      <c r="G73" s="95"/>
      <c r="H73" s="96"/>
      <c r="I73" s="93"/>
      <c r="J73" s="93"/>
      <c r="K73" s="93"/>
      <c r="L73" s="428"/>
      <c r="M73" s="90">
        <f t="shared" si="17"/>
        <v>0</v>
      </c>
      <c r="N73" s="98"/>
      <c r="O73" s="92">
        <f>L67</f>
        <v>0.2</v>
      </c>
    </row>
    <row r="74" spans="1:15" ht="16.2" thickBot="1" x14ac:dyDescent="0.35">
      <c r="A74" s="143"/>
      <c r="B74" s="407"/>
      <c r="C74" s="394"/>
      <c r="D74" s="123" t="s">
        <v>38</v>
      </c>
      <c r="E74" s="124"/>
      <c r="F74" s="125"/>
      <c r="G74" s="124"/>
      <c r="H74" s="125"/>
      <c r="I74" s="126"/>
      <c r="J74" s="126"/>
      <c r="K74" s="126"/>
      <c r="L74" s="127"/>
      <c r="M74" s="127"/>
      <c r="N74" s="128"/>
      <c r="O74" s="107">
        <f>SUM(O67:O73)</f>
        <v>45468.399999999972</v>
      </c>
    </row>
    <row r="75" spans="1:15" ht="15.6" x14ac:dyDescent="0.3">
      <c r="A75" s="143"/>
      <c r="B75" s="150"/>
      <c r="C75" s="137"/>
      <c r="D75" s="112"/>
      <c r="E75" s="138"/>
      <c r="F75" s="139"/>
      <c r="G75" s="138"/>
      <c r="H75" s="139"/>
      <c r="L75" s="140"/>
      <c r="M75" s="140"/>
      <c r="N75" s="141"/>
      <c r="O75" s="142"/>
    </row>
    <row r="76" spans="1:15" ht="15.6" x14ac:dyDescent="0.3">
      <c r="A76" s="143"/>
      <c r="B76" s="150"/>
      <c r="C76" s="137"/>
      <c r="D76" s="112"/>
      <c r="E76" s="138"/>
      <c r="F76" s="139"/>
      <c r="G76" s="138"/>
      <c r="H76" s="139"/>
      <c r="L76" s="140"/>
      <c r="M76" s="140"/>
      <c r="N76" s="141"/>
      <c r="O76" s="142"/>
    </row>
    <row r="77" spans="1:15" ht="15.6" x14ac:dyDescent="0.3">
      <c r="A77" s="143"/>
      <c r="B77" s="150"/>
      <c r="C77" s="137"/>
      <c r="D77" s="112"/>
      <c r="E77" s="138"/>
      <c r="F77" s="139"/>
      <c r="G77" s="138"/>
      <c r="H77" s="139"/>
      <c r="L77" s="140"/>
      <c r="M77" s="140"/>
      <c r="N77" s="141"/>
      <c r="O77" s="142"/>
    </row>
    <row r="78" spans="1:15" ht="15.6" x14ac:dyDescent="0.3">
      <c r="A78" s="143"/>
      <c r="B78" s="150"/>
      <c r="C78" s="137"/>
      <c r="D78" s="112"/>
      <c r="E78" s="138"/>
      <c r="F78" s="139"/>
      <c r="G78" s="138"/>
      <c r="H78" s="139"/>
      <c r="L78" s="140"/>
      <c r="M78" s="140"/>
      <c r="N78" s="141"/>
      <c r="O78" s="142"/>
    </row>
    <row r="79" spans="1:15" ht="15.6" x14ac:dyDescent="0.3">
      <c r="A79" s="143"/>
      <c r="B79" s="150"/>
      <c r="C79" s="137"/>
      <c r="D79" s="112"/>
      <c r="E79" s="138"/>
      <c r="F79" s="139"/>
      <c r="G79" s="138"/>
      <c r="H79" s="139"/>
      <c r="L79" s="140"/>
      <c r="M79" s="140"/>
      <c r="N79" s="141"/>
      <c r="O79" s="142"/>
    </row>
    <row r="80" spans="1:15" ht="15.6" x14ac:dyDescent="0.3">
      <c r="A80" s="143"/>
      <c r="B80" s="150"/>
      <c r="C80" s="137"/>
      <c r="D80" s="112"/>
      <c r="E80" s="138"/>
      <c r="F80" s="139"/>
      <c r="G80" s="138"/>
      <c r="H80" s="139"/>
      <c r="L80" s="140"/>
      <c r="M80" s="140"/>
      <c r="N80" s="141"/>
      <c r="O80" s="142"/>
    </row>
    <row r="81" spans="1:15" ht="15.6" x14ac:dyDescent="0.3">
      <c r="A81" s="143"/>
      <c r="B81" s="150"/>
      <c r="C81" s="137"/>
      <c r="D81" s="112"/>
      <c r="E81" s="138"/>
      <c r="F81" s="139"/>
      <c r="G81" s="138"/>
      <c r="H81" s="139"/>
      <c r="L81" s="140"/>
      <c r="M81" s="140"/>
      <c r="N81" s="141"/>
      <c r="O81" s="142"/>
    </row>
    <row r="82" spans="1:15" ht="15.6" x14ac:dyDescent="0.3">
      <c r="A82" s="143"/>
      <c r="B82" s="150"/>
      <c r="C82" s="137"/>
      <c r="D82" s="112"/>
      <c r="E82" s="138"/>
      <c r="F82" s="139"/>
      <c r="G82" s="138"/>
      <c r="H82" s="139"/>
      <c r="L82" s="140"/>
      <c r="M82" s="140"/>
      <c r="N82" s="141"/>
      <c r="O82" s="142"/>
    </row>
    <row r="83" spans="1:15" ht="15.6" x14ac:dyDescent="0.3">
      <c r="A83" s="143"/>
      <c r="B83" s="150"/>
      <c r="C83" s="137"/>
      <c r="D83" s="112"/>
      <c r="E83" s="138"/>
      <c r="F83" s="139"/>
      <c r="G83" s="138"/>
      <c r="H83" s="139"/>
      <c r="L83" s="140"/>
      <c r="M83" s="140"/>
      <c r="N83" s="141"/>
      <c r="O83" s="142"/>
    </row>
    <row r="84" spans="1:15" ht="16.2" thickBot="1" x14ac:dyDescent="0.35">
      <c r="A84" s="143"/>
      <c r="B84" s="93"/>
      <c r="C84" s="93"/>
      <c r="D84" s="112"/>
      <c r="E84" s="138"/>
      <c r="F84" s="139"/>
      <c r="G84" s="138"/>
      <c r="H84" s="139"/>
      <c r="L84" s="140"/>
      <c r="M84" s="140"/>
      <c r="N84" s="141"/>
      <c r="O84" s="142"/>
    </row>
    <row r="85" spans="1:15" ht="31.8" thickBot="1" x14ac:dyDescent="0.3">
      <c r="A85" s="143"/>
      <c r="B85" s="143" t="s">
        <v>0</v>
      </c>
      <c r="C85" s="144" t="s">
        <v>1</v>
      </c>
      <c r="D85" s="143"/>
      <c r="E85" s="144" t="s">
        <v>198</v>
      </c>
      <c r="F85" s="145" t="s">
        <v>194</v>
      </c>
      <c r="G85" s="144" t="s">
        <v>196</v>
      </c>
      <c r="H85" s="145" t="s">
        <v>9</v>
      </c>
      <c r="I85" s="143" t="s">
        <v>2</v>
      </c>
      <c r="J85" s="77" t="s">
        <v>39</v>
      </c>
      <c r="K85" s="144" t="s">
        <v>13</v>
      </c>
      <c r="L85" s="144" t="s">
        <v>14</v>
      </c>
      <c r="M85" s="146" t="s">
        <v>15</v>
      </c>
      <c r="N85" s="147" t="s">
        <v>11</v>
      </c>
      <c r="O85" s="148" t="s">
        <v>12</v>
      </c>
    </row>
    <row r="86" spans="1:15" ht="15.6" thickBot="1" x14ac:dyDescent="0.3">
      <c r="A86" s="85">
        <v>1</v>
      </c>
      <c r="B86" s="405" t="s">
        <v>100</v>
      </c>
      <c r="C86" s="392">
        <v>202</v>
      </c>
      <c r="D86" s="87" t="s">
        <v>35</v>
      </c>
      <c r="E86" s="88">
        <v>457.4</v>
      </c>
      <c r="F86" s="171">
        <v>46163</v>
      </c>
      <c r="G86" s="88">
        <v>457.4</v>
      </c>
      <c r="H86" s="171">
        <v>46197</v>
      </c>
      <c r="I86" s="86">
        <f>G86-E86</f>
        <v>0</v>
      </c>
      <c r="J86" s="86"/>
      <c r="K86" s="86">
        <v>257</v>
      </c>
      <c r="L86" s="382">
        <v>2.5</v>
      </c>
      <c r="M86" s="90">
        <f t="shared" ref="M86:M92" si="20">I86*K86+J86</f>
        <v>0</v>
      </c>
      <c r="N86" s="91">
        <v>0</v>
      </c>
      <c r="O86" s="92">
        <f t="shared" ref="O86:O87" si="21">M86-N86</f>
        <v>0</v>
      </c>
    </row>
    <row r="87" spans="1:15" ht="15.6" thickBot="1" x14ac:dyDescent="0.3">
      <c r="A87" s="85"/>
      <c r="B87" s="406"/>
      <c r="C87" s="393"/>
      <c r="D87" s="94" t="s">
        <v>36</v>
      </c>
      <c r="E87" s="95">
        <v>226</v>
      </c>
      <c r="F87" s="171">
        <v>46163</v>
      </c>
      <c r="G87" s="95">
        <v>226</v>
      </c>
      <c r="H87" s="171">
        <v>46197</v>
      </c>
      <c r="I87" s="86">
        <f>G87-E87</f>
        <v>0</v>
      </c>
      <c r="J87" s="86">
        <v>0</v>
      </c>
      <c r="K87" s="93">
        <v>1200</v>
      </c>
      <c r="L87" s="383"/>
      <c r="M87" s="90">
        <f t="shared" si="20"/>
        <v>0</v>
      </c>
      <c r="N87" s="98"/>
      <c r="O87" s="92">
        <f t="shared" si="21"/>
        <v>0</v>
      </c>
    </row>
    <row r="88" spans="1:15" ht="15.6" thickBot="1" x14ac:dyDescent="0.3">
      <c r="A88" s="85"/>
      <c r="B88" s="406"/>
      <c r="C88" s="393"/>
      <c r="D88" s="117" t="s">
        <v>37</v>
      </c>
      <c r="E88" s="118"/>
      <c r="F88" s="119"/>
      <c r="G88" s="118"/>
      <c r="H88" s="119"/>
      <c r="I88" s="120">
        <v>1</v>
      </c>
      <c r="J88" s="120"/>
      <c r="K88" s="120">
        <v>15000</v>
      </c>
      <c r="L88" s="383"/>
      <c r="M88" s="90">
        <f t="shared" si="20"/>
        <v>15000</v>
      </c>
      <c r="N88" s="99"/>
      <c r="O88" s="92">
        <f t="shared" ref="O88:O91" si="22">M88+L88-N88</f>
        <v>15000</v>
      </c>
    </row>
    <row r="89" spans="1:15" ht="15.6" thickBot="1" x14ac:dyDescent="0.3">
      <c r="A89" s="85"/>
      <c r="B89" s="406"/>
      <c r="C89" s="393"/>
      <c r="D89" s="94" t="s">
        <v>90</v>
      </c>
      <c r="E89" s="95"/>
      <c r="F89" s="96"/>
      <c r="G89" s="95"/>
      <c r="H89" s="96"/>
      <c r="I89" s="93"/>
      <c r="J89" s="93"/>
      <c r="K89" s="93"/>
      <c r="L89" s="383"/>
      <c r="M89" s="90">
        <f t="shared" si="20"/>
        <v>0</v>
      </c>
      <c r="N89" s="98"/>
      <c r="O89" s="92">
        <f t="shared" si="22"/>
        <v>0</v>
      </c>
    </row>
    <row r="90" spans="1:15" ht="15.6" thickBot="1" x14ac:dyDescent="0.3">
      <c r="A90" s="85"/>
      <c r="B90" s="406"/>
      <c r="C90" s="393"/>
      <c r="D90" s="94" t="s">
        <v>91</v>
      </c>
      <c r="E90" s="95"/>
      <c r="F90" s="96"/>
      <c r="G90" s="95"/>
      <c r="H90" s="96"/>
      <c r="I90" s="93">
        <v>1</v>
      </c>
      <c r="J90" s="93"/>
      <c r="K90" s="93">
        <v>2000</v>
      </c>
      <c r="L90" s="383"/>
      <c r="M90" s="90">
        <f t="shared" si="20"/>
        <v>2000</v>
      </c>
      <c r="N90" s="98"/>
      <c r="O90" s="92">
        <f t="shared" si="22"/>
        <v>2000</v>
      </c>
    </row>
    <row r="91" spans="1:15" ht="30.6" thickBot="1" x14ac:dyDescent="0.3">
      <c r="A91" s="85"/>
      <c r="B91" s="406"/>
      <c r="C91" s="393"/>
      <c r="D91" s="94" t="s">
        <v>92</v>
      </c>
      <c r="E91" s="95"/>
      <c r="F91" s="96"/>
      <c r="G91" s="95"/>
      <c r="H91" s="96"/>
      <c r="I91" s="93">
        <v>0</v>
      </c>
      <c r="J91" s="93"/>
      <c r="K91" s="93">
        <v>0</v>
      </c>
      <c r="L91" s="383"/>
      <c r="M91" s="90">
        <f t="shared" si="20"/>
        <v>0</v>
      </c>
      <c r="N91" s="98"/>
      <c r="O91" s="92">
        <f t="shared" si="22"/>
        <v>0</v>
      </c>
    </row>
    <row r="92" spans="1:15" x14ac:dyDescent="0.25">
      <c r="A92" s="85"/>
      <c r="B92" s="406"/>
      <c r="C92" s="393"/>
      <c r="D92" s="94" t="s">
        <v>189</v>
      </c>
      <c r="E92" s="95"/>
      <c r="F92" s="96"/>
      <c r="G92" s="95"/>
      <c r="H92" s="96"/>
      <c r="I92" s="93"/>
      <c r="J92" s="93"/>
      <c r="K92" s="93"/>
      <c r="L92" s="384"/>
      <c r="M92" s="90">
        <f t="shared" si="20"/>
        <v>0</v>
      </c>
      <c r="N92" s="98"/>
      <c r="O92" s="92">
        <f>L86</f>
        <v>2.5</v>
      </c>
    </row>
    <row r="93" spans="1:15" ht="16.2" thickBot="1" x14ac:dyDescent="0.35">
      <c r="A93" s="143"/>
      <c r="B93" s="407"/>
      <c r="C93" s="394"/>
      <c r="D93" s="123" t="s">
        <v>38</v>
      </c>
      <c r="E93" s="124"/>
      <c r="F93" s="125"/>
      <c r="G93" s="124"/>
      <c r="H93" s="125"/>
      <c r="I93" s="126"/>
      <c r="J93" s="126"/>
      <c r="K93" s="126"/>
      <c r="L93" s="127"/>
      <c r="M93" s="127"/>
      <c r="N93" s="128"/>
      <c r="O93" s="107">
        <f>SUM(O86:O92)</f>
        <v>17002.5</v>
      </c>
    </row>
    <row r="94" spans="1:15" ht="15.6" x14ac:dyDescent="0.3">
      <c r="A94" s="143"/>
      <c r="B94" s="150"/>
      <c r="C94" s="137"/>
      <c r="D94" s="112"/>
      <c r="E94" s="138"/>
      <c r="F94" s="139"/>
      <c r="G94" s="138"/>
      <c r="H94" s="139"/>
      <c r="L94" s="140"/>
      <c r="M94" s="140"/>
      <c r="N94" s="141"/>
      <c r="O94" s="142"/>
    </row>
    <row r="95" spans="1:15" ht="15.6" x14ac:dyDescent="0.3">
      <c r="A95" s="143"/>
      <c r="B95" s="150"/>
      <c r="C95" s="137"/>
      <c r="D95" s="112"/>
      <c r="E95" s="138"/>
      <c r="F95" s="139"/>
      <c r="G95" s="138"/>
      <c r="H95" s="139"/>
      <c r="L95" s="140"/>
      <c r="M95" s="140"/>
      <c r="N95" s="141"/>
      <c r="O95" s="142"/>
    </row>
    <row r="96" spans="1:15" ht="15.6" x14ac:dyDescent="0.3">
      <c r="A96" s="143"/>
      <c r="B96" s="150"/>
      <c r="C96" s="137"/>
      <c r="D96" s="112"/>
      <c r="E96" s="138"/>
      <c r="F96" s="139"/>
      <c r="G96" s="138"/>
      <c r="H96" s="139"/>
      <c r="L96" s="140"/>
      <c r="M96" s="140"/>
      <c r="N96" s="141"/>
      <c r="O96" s="142"/>
    </row>
    <row r="97" spans="1:15" ht="15.6" x14ac:dyDescent="0.3">
      <c r="A97" s="143"/>
      <c r="B97" s="150"/>
      <c r="C97" s="137"/>
      <c r="D97" s="112"/>
      <c r="E97" s="138"/>
      <c r="F97" s="139"/>
      <c r="G97" s="138"/>
      <c r="H97" s="139"/>
      <c r="L97" s="140"/>
      <c r="M97" s="140"/>
      <c r="N97" s="141"/>
      <c r="O97" s="142"/>
    </row>
    <row r="98" spans="1:15" ht="15.6" x14ac:dyDescent="0.3">
      <c r="A98" s="143"/>
      <c r="B98" s="150"/>
      <c r="C98" s="137"/>
      <c r="D98" s="112"/>
      <c r="E98" s="138"/>
      <c r="F98" s="139"/>
      <c r="G98" s="138"/>
      <c r="H98" s="139"/>
      <c r="L98" s="140"/>
      <c r="M98" s="140"/>
      <c r="N98" s="141"/>
      <c r="O98" s="142"/>
    </row>
    <row r="99" spans="1:15" ht="15.6" x14ac:dyDescent="0.3">
      <c r="A99" s="143"/>
      <c r="B99" s="150"/>
      <c r="C99" s="137"/>
      <c r="D99" s="112"/>
      <c r="E99" s="138"/>
      <c r="F99" s="139"/>
      <c r="G99" s="138"/>
      <c r="H99" s="139"/>
      <c r="L99" s="140"/>
      <c r="M99" s="140"/>
      <c r="N99" s="141"/>
      <c r="O99" s="142"/>
    </row>
    <row r="100" spans="1:15" ht="15.6" x14ac:dyDescent="0.3">
      <c r="A100" s="143"/>
      <c r="B100" s="150"/>
      <c r="C100" s="137"/>
      <c r="D100" s="112"/>
      <c r="E100" s="138"/>
      <c r="F100" s="139"/>
      <c r="G100" s="138"/>
      <c r="H100" s="139"/>
      <c r="L100" s="140"/>
      <c r="M100" s="140"/>
      <c r="N100" s="141"/>
      <c r="O100" s="142"/>
    </row>
    <row r="101" spans="1:15" ht="16.2" thickBot="1" x14ac:dyDescent="0.35">
      <c r="A101" s="143"/>
      <c r="B101" s="150"/>
      <c r="C101" s="137"/>
      <c r="D101" s="112"/>
      <c r="E101" s="138"/>
      <c r="F101" s="139"/>
      <c r="G101" s="138"/>
      <c r="H101" s="139"/>
      <c r="L101" s="140"/>
      <c r="M101" s="140"/>
      <c r="N101" s="141"/>
      <c r="O101" s="142"/>
    </row>
    <row r="102" spans="1:15" ht="31.8" thickBot="1" x14ac:dyDescent="0.3">
      <c r="A102" s="143"/>
      <c r="B102" s="143" t="s">
        <v>0</v>
      </c>
      <c r="C102" s="144" t="s">
        <v>1</v>
      </c>
      <c r="D102" s="143"/>
      <c r="E102" s="144" t="s">
        <v>198</v>
      </c>
      <c r="F102" s="145" t="s">
        <v>194</v>
      </c>
      <c r="G102" s="144" t="s">
        <v>196</v>
      </c>
      <c r="H102" s="145" t="s">
        <v>9</v>
      </c>
      <c r="I102" s="143" t="s">
        <v>2</v>
      </c>
      <c r="J102" s="77" t="s">
        <v>39</v>
      </c>
      <c r="K102" s="144" t="s">
        <v>13</v>
      </c>
      <c r="L102" s="144" t="s">
        <v>14</v>
      </c>
      <c r="M102" s="146" t="s">
        <v>15</v>
      </c>
      <c r="N102" s="147" t="s">
        <v>11</v>
      </c>
      <c r="O102" s="148" t="s">
        <v>12</v>
      </c>
    </row>
    <row r="103" spans="1:15" ht="15.6" thickBot="1" x14ac:dyDescent="0.3">
      <c r="A103" s="85">
        <v>1</v>
      </c>
      <c r="B103" s="429" t="s">
        <v>101</v>
      </c>
      <c r="C103" s="392">
        <v>203</v>
      </c>
      <c r="D103" s="87" t="s">
        <v>35</v>
      </c>
      <c r="E103" s="88">
        <v>208</v>
      </c>
      <c r="F103" s="171">
        <v>46163</v>
      </c>
      <c r="G103" s="88">
        <v>243.1</v>
      </c>
      <c r="H103" s="171">
        <v>46197</v>
      </c>
      <c r="I103" s="86">
        <f>G103-E103</f>
        <v>35.099999999999994</v>
      </c>
      <c r="J103" s="86"/>
      <c r="K103" s="86">
        <v>257</v>
      </c>
      <c r="L103" s="382">
        <v>45607</v>
      </c>
      <c r="M103" s="90">
        <f t="shared" ref="M103:M109" si="23">I103*K103+J103</f>
        <v>9020.6999999999989</v>
      </c>
      <c r="N103" s="91">
        <v>0</v>
      </c>
      <c r="O103" s="92">
        <f t="shared" ref="O103:O104" si="24">M103-N103</f>
        <v>9020.6999999999989</v>
      </c>
    </row>
    <row r="104" spans="1:15" ht="15.6" thickBot="1" x14ac:dyDescent="0.3">
      <c r="A104" s="85"/>
      <c r="B104" s="430"/>
      <c r="C104" s="393"/>
      <c r="D104" s="94" t="s">
        <v>36</v>
      </c>
      <c r="E104" s="95">
        <v>422</v>
      </c>
      <c r="F104" s="171">
        <v>46163</v>
      </c>
      <c r="G104" s="95">
        <v>439</v>
      </c>
      <c r="H104" s="171">
        <v>46197</v>
      </c>
      <c r="I104" s="86">
        <f>G104-E104</f>
        <v>17</v>
      </c>
      <c r="J104" s="86">
        <v>1000</v>
      </c>
      <c r="K104" s="93">
        <v>1200</v>
      </c>
      <c r="L104" s="383"/>
      <c r="M104" s="90">
        <f t="shared" si="23"/>
        <v>21400</v>
      </c>
      <c r="N104" s="98"/>
      <c r="O104" s="92">
        <f t="shared" si="24"/>
        <v>21400</v>
      </c>
    </row>
    <row r="105" spans="1:15" ht="15.6" thickBot="1" x14ac:dyDescent="0.3">
      <c r="A105" s="85"/>
      <c r="B105" s="430"/>
      <c r="C105" s="393"/>
      <c r="D105" s="117" t="s">
        <v>37</v>
      </c>
      <c r="E105" s="118"/>
      <c r="F105" s="119"/>
      <c r="G105" s="118"/>
      <c r="H105" s="119"/>
      <c r="I105" s="120">
        <v>1</v>
      </c>
      <c r="J105" s="120"/>
      <c r="K105" s="120">
        <v>25000</v>
      </c>
      <c r="L105" s="383"/>
      <c r="M105" s="90">
        <f t="shared" si="23"/>
        <v>25000</v>
      </c>
      <c r="N105" s="99"/>
      <c r="O105" s="92">
        <f t="shared" ref="O105:O108" si="25">M105+L105-N105</f>
        <v>25000</v>
      </c>
    </row>
    <row r="106" spans="1:15" ht="15.6" thickBot="1" x14ac:dyDescent="0.3">
      <c r="A106" s="85"/>
      <c r="B106" s="430"/>
      <c r="C106" s="393"/>
      <c r="D106" s="94" t="s">
        <v>90</v>
      </c>
      <c r="E106" s="95"/>
      <c r="F106" s="96"/>
      <c r="G106" s="95"/>
      <c r="H106" s="96"/>
      <c r="I106" s="93"/>
      <c r="J106" s="93"/>
      <c r="K106" s="93"/>
      <c r="L106" s="383"/>
      <c r="M106" s="90">
        <f t="shared" si="23"/>
        <v>0</v>
      </c>
      <c r="N106" s="98"/>
      <c r="O106" s="92">
        <f t="shared" si="25"/>
        <v>0</v>
      </c>
    </row>
    <row r="107" spans="1:15" ht="15.6" thickBot="1" x14ac:dyDescent="0.3">
      <c r="A107" s="85"/>
      <c r="B107" s="430"/>
      <c r="C107" s="393"/>
      <c r="D107" s="94" t="s">
        <v>91</v>
      </c>
      <c r="E107" s="95"/>
      <c r="F107" s="96"/>
      <c r="G107" s="95"/>
      <c r="H107" s="96"/>
      <c r="I107" s="93">
        <v>1</v>
      </c>
      <c r="J107" s="93"/>
      <c r="K107" s="93">
        <v>2000</v>
      </c>
      <c r="L107" s="383"/>
      <c r="M107" s="90">
        <f t="shared" si="23"/>
        <v>2000</v>
      </c>
      <c r="N107" s="98"/>
      <c r="O107" s="92">
        <f t="shared" si="25"/>
        <v>2000</v>
      </c>
    </row>
    <row r="108" spans="1:15" ht="30.6" thickBot="1" x14ac:dyDescent="0.3">
      <c r="A108" s="85"/>
      <c r="B108" s="430"/>
      <c r="C108" s="393"/>
      <c r="D108" s="94" t="s">
        <v>92</v>
      </c>
      <c r="E108" s="95"/>
      <c r="F108" s="96"/>
      <c r="G108" s="95"/>
      <c r="H108" s="96"/>
      <c r="I108" s="93">
        <v>0</v>
      </c>
      <c r="J108" s="93"/>
      <c r="K108" s="93">
        <v>0</v>
      </c>
      <c r="L108" s="383"/>
      <c r="M108" s="90">
        <f t="shared" si="23"/>
        <v>0</v>
      </c>
      <c r="N108" s="98"/>
      <c r="O108" s="92">
        <f t="shared" si="25"/>
        <v>0</v>
      </c>
    </row>
    <row r="109" spans="1:15" x14ac:dyDescent="0.25">
      <c r="A109" s="85"/>
      <c r="B109" s="430"/>
      <c r="C109" s="393"/>
      <c r="D109" s="94" t="s">
        <v>189</v>
      </c>
      <c r="E109" s="95"/>
      <c r="F109" s="96"/>
      <c r="G109" s="95"/>
      <c r="H109" s="96"/>
      <c r="I109" s="93"/>
      <c r="J109" s="93"/>
      <c r="K109" s="93"/>
      <c r="L109" s="384"/>
      <c r="M109" s="90">
        <f t="shared" si="23"/>
        <v>0</v>
      </c>
      <c r="N109" s="98"/>
      <c r="O109" s="92">
        <f>L103</f>
        <v>45607</v>
      </c>
    </row>
    <row r="110" spans="1:15" ht="21.75" customHeight="1" thickBot="1" x14ac:dyDescent="0.35">
      <c r="A110" s="143">
        <v>8</v>
      </c>
      <c r="B110" s="431"/>
      <c r="C110" s="394"/>
      <c r="D110" s="123" t="s">
        <v>38</v>
      </c>
      <c r="E110" s="124"/>
      <c r="F110" s="125"/>
      <c r="G110" s="124"/>
      <c r="H110" s="125"/>
      <c r="I110" s="126"/>
      <c r="J110" s="126"/>
      <c r="K110" s="126"/>
      <c r="L110" s="127" t="s">
        <v>88</v>
      </c>
      <c r="M110" s="127"/>
      <c r="N110" s="128"/>
      <c r="O110" s="107">
        <f>SUM(O103:O109)</f>
        <v>103027.7</v>
      </c>
    </row>
    <row r="111" spans="1:15" ht="16.2" thickBot="1" x14ac:dyDescent="0.35">
      <c r="A111" s="264"/>
      <c r="B111" s="265"/>
      <c r="C111" s="259"/>
      <c r="E111" s="138"/>
      <c r="F111" s="139"/>
      <c r="G111" s="138"/>
      <c r="H111" s="139"/>
      <c r="L111" s="140"/>
      <c r="M111" s="140"/>
      <c r="N111" s="141"/>
      <c r="O111" s="142"/>
    </row>
    <row r="112" spans="1:15" ht="31.8" thickBot="1" x14ac:dyDescent="0.3">
      <c r="A112" s="143"/>
      <c r="B112" s="143" t="s">
        <v>0</v>
      </c>
      <c r="C112" s="144" t="s">
        <v>1</v>
      </c>
      <c r="D112" s="143"/>
      <c r="E112" s="144" t="s">
        <v>198</v>
      </c>
      <c r="F112" s="145" t="s">
        <v>194</v>
      </c>
      <c r="G112" s="144" t="s">
        <v>196</v>
      </c>
      <c r="H112" s="145" t="s">
        <v>9</v>
      </c>
      <c r="I112" s="143" t="s">
        <v>2</v>
      </c>
      <c r="J112" s="77" t="s">
        <v>39</v>
      </c>
      <c r="K112" s="144" t="s">
        <v>13</v>
      </c>
      <c r="L112" s="144" t="s">
        <v>14</v>
      </c>
      <c r="M112" s="146" t="s">
        <v>15</v>
      </c>
      <c r="N112" s="147" t="s">
        <v>11</v>
      </c>
      <c r="O112" s="148" t="s">
        <v>12</v>
      </c>
    </row>
    <row r="113" spans="1:15" ht="15.6" thickBot="1" x14ac:dyDescent="0.3">
      <c r="A113" s="85">
        <v>1</v>
      </c>
      <c r="B113" s="405" t="s">
        <v>102</v>
      </c>
      <c r="C113" s="392">
        <v>204</v>
      </c>
      <c r="D113" s="87" t="s">
        <v>35</v>
      </c>
      <c r="E113" s="88">
        <v>17200.7</v>
      </c>
      <c r="F113" s="171">
        <v>46163</v>
      </c>
      <c r="G113" s="88">
        <v>17755.599999999999</v>
      </c>
      <c r="H113" s="171">
        <v>46197</v>
      </c>
      <c r="I113" s="343">
        <f>G113-E113</f>
        <v>554.89999999999782</v>
      </c>
      <c r="J113" s="86"/>
      <c r="K113" s="86">
        <v>257</v>
      </c>
      <c r="L113" s="382">
        <v>-39.5</v>
      </c>
      <c r="M113" s="90">
        <f t="shared" ref="M113:M119" si="26">I113*K113+J113</f>
        <v>142609.29999999944</v>
      </c>
      <c r="N113" s="91">
        <v>0</v>
      </c>
      <c r="O113" s="92">
        <f t="shared" ref="O113:O114" si="27">M113-N113</f>
        <v>142609.29999999944</v>
      </c>
    </row>
    <row r="114" spans="1:15" ht="15.6" thickBot="1" x14ac:dyDescent="0.3">
      <c r="A114" s="85"/>
      <c r="B114" s="406"/>
      <c r="C114" s="393"/>
      <c r="D114" s="94" t="s">
        <v>36</v>
      </c>
      <c r="E114" s="95">
        <v>1531</v>
      </c>
      <c r="F114" s="171">
        <v>46163</v>
      </c>
      <c r="G114" s="95">
        <v>1578</v>
      </c>
      <c r="H114" s="171">
        <v>46197</v>
      </c>
      <c r="I114" s="86">
        <f>G114-E114</f>
        <v>47</v>
      </c>
      <c r="J114" s="86">
        <v>1000</v>
      </c>
      <c r="K114" s="93">
        <v>1200</v>
      </c>
      <c r="L114" s="383"/>
      <c r="M114" s="90">
        <f t="shared" si="26"/>
        <v>57400</v>
      </c>
      <c r="N114" s="98"/>
      <c r="O114" s="92">
        <f t="shared" si="27"/>
        <v>57400</v>
      </c>
    </row>
    <row r="115" spans="1:15" ht="15.6" thickBot="1" x14ac:dyDescent="0.3">
      <c r="A115" s="85"/>
      <c r="B115" s="406"/>
      <c r="C115" s="393"/>
      <c r="D115" s="117" t="s">
        <v>37</v>
      </c>
      <c r="E115" s="118"/>
      <c r="F115" s="119"/>
      <c r="G115" s="118"/>
      <c r="H115" s="119"/>
      <c r="I115" s="120">
        <v>1</v>
      </c>
      <c r="J115" s="120"/>
      <c r="K115" s="120">
        <v>25000</v>
      </c>
      <c r="L115" s="383"/>
      <c r="M115" s="90">
        <f t="shared" si="26"/>
        <v>25000</v>
      </c>
      <c r="N115" s="99"/>
      <c r="O115" s="92">
        <f t="shared" ref="O115:O118" si="28">M115+L115-N115</f>
        <v>25000</v>
      </c>
    </row>
    <row r="116" spans="1:15" ht="15.6" thickBot="1" x14ac:dyDescent="0.3">
      <c r="A116" s="85"/>
      <c r="B116" s="406"/>
      <c r="C116" s="393"/>
      <c r="D116" s="94" t="s">
        <v>90</v>
      </c>
      <c r="E116" s="95"/>
      <c r="F116" s="96"/>
      <c r="G116" s="95"/>
      <c r="H116" s="96"/>
      <c r="I116" s="93"/>
      <c r="J116" s="93"/>
      <c r="K116" s="93"/>
      <c r="L116" s="383"/>
      <c r="M116" s="90">
        <f t="shared" si="26"/>
        <v>0</v>
      </c>
      <c r="N116" s="98"/>
      <c r="O116" s="92">
        <f t="shared" si="28"/>
        <v>0</v>
      </c>
    </row>
    <row r="117" spans="1:15" ht="15.6" thickBot="1" x14ac:dyDescent="0.3">
      <c r="A117" s="85"/>
      <c r="B117" s="406"/>
      <c r="C117" s="393"/>
      <c r="D117" s="94" t="s">
        <v>91</v>
      </c>
      <c r="E117" s="95"/>
      <c r="F117" s="96"/>
      <c r="G117" s="95"/>
      <c r="H117" s="96"/>
      <c r="I117" s="93">
        <v>1</v>
      </c>
      <c r="J117" s="93"/>
      <c r="K117" s="93">
        <v>2000</v>
      </c>
      <c r="L117" s="383"/>
      <c r="M117" s="90">
        <f t="shared" si="26"/>
        <v>2000</v>
      </c>
      <c r="N117" s="98"/>
      <c r="O117" s="92">
        <f t="shared" si="28"/>
        <v>2000</v>
      </c>
    </row>
    <row r="118" spans="1:15" ht="30.6" thickBot="1" x14ac:dyDescent="0.3">
      <c r="A118" s="85"/>
      <c r="B118" s="406"/>
      <c r="C118" s="393"/>
      <c r="D118" s="94" t="s">
        <v>92</v>
      </c>
      <c r="E118" s="95"/>
      <c r="F118" s="96"/>
      <c r="G118" s="95"/>
      <c r="H118" s="96"/>
      <c r="I118" s="93">
        <v>0</v>
      </c>
      <c r="J118" s="93"/>
      <c r="K118" s="93">
        <v>0</v>
      </c>
      <c r="L118" s="383"/>
      <c r="M118" s="90">
        <f t="shared" si="26"/>
        <v>0</v>
      </c>
      <c r="N118" s="98"/>
      <c r="O118" s="92">
        <f t="shared" si="28"/>
        <v>0</v>
      </c>
    </row>
    <row r="119" spans="1:15" x14ac:dyDescent="0.25">
      <c r="A119" s="85"/>
      <c r="B119" s="406"/>
      <c r="C119" s="393"/>
      <c r="D119" s="94" t="s">
        <v>189</v>
      </c>
      <c r="E119" s="95"/>
      <c r="F119" s="96"/>
      <c r="G119" s="95"/>
      <c r="H119" s="96"/>
      <c r="I119" s="93"/>
      <c r="J119" s="93"/>
      <c r="K119" s="93"/>
      <c r="L119" s="384"/>
      <c r="M119" s="90">
        <f t="shared" si="26"/>
        <v>0</v>
      </c>
      <c r="N119" s="98"/>
      <c r="O119" s="92">
        <f>L113</f>
        <v>-39.5</v>
      </c>
    </row>
    <row r="120" spans="1:15" ht="16.2" thickBot="1" x14ac:dyDescent="0.35">
      <c r="A120" s="143"/>
      <c r="B120" s="407"/>
      <c r="C120" s="394"/>
      <c r="D120" s="123" t="s">
        <v>38</v>
      </c>
      <c r="E120" s="124"/>
      <c r="F120" s="125"/>
      <c r="G120" s="124"/>
      <c r="H120" s="125"/>
      <c r="I120" s="126"/>
      <c r="J120" s="126"/>
      <c r="K120" s="126"/>
      <c r="L120" s="127"/>
      <c r="M120" s="127"/>
      <c r="N120" s="128"/>
      <c r="O120" s="107">
        <f>SUM(O113:O119)</f>
        <v>226969.79999999944</v>
      </c>
    </row>
    <row r="121" spans="1:15" ht="16.2" thickBot="1" x14ac:dyDescent="0.35">
      <c r="A121" s="143"/>
      <c r="B121" s="150"/>
      <c r="C121" s="137"/>
      <c r="D121" s="112"/>
      <c r="E121" s="138"/>
      <c r="F121" s="139"/>
      <c r="G121" s="138"/>
      <c r="H121" s="139"/>
      <c r="L121" s="140"/>
      <c r="M121" s="140"/>
      <c r="N121" s="141"/>
      <c r="O121" s="142"/>
    </row>
    <row r="122" spans="1:15" ht="26.25" customHeight="1" thickBot="1" x14ac:dyDescent="0.3">
      <c r="A122" s="143">
        <v>8</v>
      </c>
      <c r="B122" s="143" t="s">
        <v>0</v>
      </c>
      <c r="C122" s="144" t="s">
        <v>1</v>
      </c>
      <c r="D122" s="143"/>
      <c r="E122" s="144" t="s">
        <v>198</v>
      </c>
      <c r="F122" s="145" t="s">
        <v>194</v>
      </c>
      <c r="G122" s="144" t="s">
        <v>196</v>
      </c>
      <c r="H122" s="145" t="s">
        <v>9</v>
      </c>
      <c r="I122" s="143" t="s">
        <v>2</v>
      </c>
      <c r="J122" s="77" t="s">
        <v>39</v>
      </c>
      <c r="K122" s="144" t="s">
        <v>13</v>
      </c>
      <c r="L122" s="144" t="s">
        <v>14</v>
      </c>
      <c r="M122" s="146" t="s">
        <v>15</v>
      </c>
      <c r="N122" s="147" t="s">
        <v>11</v>
      </c>
      <c r="O122" s="148" t="s">
        <v>12</v>
      </c>
    </row>
    <row r="123" spans="1:15" ht="26.25" customHeight="1" thickBot="1" x14ac:dyDescent="0.3">
      <c r="A123" s="85">
        <v>1</v>
      </c>
      <c r="B123" s="400" t="s">
        <v>103</v>
      </c>
      <c r="C123" s="402" t="s">
        <v>104</v>
      </c>
      <c r="D123" s="87" t="s">
        <v>35</v>
      </c>
      <c r="E123" s="159"/>
      <c r="F123" s="171">
        <v>46163</v>
      </c>
      <c r="G123" s="159"/>
      <c r="H123" s="171">
        <v>46197</v>
      </c>
      <c r="I123" s="86">
        <f>G123-E123</f>
        <v>0</v>
      </c>
      <c r="J123" s="86"/>
      <c r="K123" s="86">
        <v>257</v>
      </c>
      <c r="L123" s="382">
        <v>-1999.99</v>
      </c>
      <c r="M123" s="90">
        <f t="shared" ref="M123:M129" si="29">I123*K123+J123</f>
        <v>0</v>
      </c>
      <c r="N123" s="91">
        <v>0</v>
      </c>
      <c r="O123" s="92">
        <f t="shared" ref="O123:O124" si="30">M123-N123</f>
        <v>0</v>
      </c>
    </row>
    <row r="124" spans="1:15" ht="26.25" customHeight="1" thickBot="1" x14ac:dyDescent="0.3">
      <c r="A124" s="85"/>
      <c r="B124" s="401"/>
      <c r="C124" s="403"/>
      <c r="D124" s="94" t="s">
        <v>36</v>
      </c>
      <c r="E124" s="156"/>
      <c r="F124" s="171">
        <v>46163</v>
      </c>
      <c r="G124" s="156"/>
      <c r="H124" s="171">
        <v>46197</v>
      </c>
      <c r="I124" s="86">
        <f>G124-E124</f>
        <v>0</v>
      </c>
      <c r="J124" s="86">
        <v>0</v>
      </c>
      <c r="K124" s="93">
        <v>1200</v>
      </c>
      <c r="L124" s="383"/>
      <c r="M124" s="267">
        <f t="shared" si="29"/>
        <v>0</v>
      </c>
      <c r="N124" s="98"/>
      <c r="O124" s="92">
        <f t="shared" si="30"/>
        <v>0</v>
      </c>
    </row>
    <row r="125" spans="1:15" ht="15.6" thickBot="1" x14ac:dyDescent="0.3">
      <c r="A125" s="85"/>
      <c r="B125" s="401"/>
      <c r="C125" s="403"/>
      <c r="D125" s="117" t="s">
        <v>37</v>
      </c>
      <c r="E125" s="118"/>
      <c r="F125" s="119"/>
      <c r="G125" s="118"/>
      <c r="H125" s="119"/>
      <c r="I125" s="120"/>
      <c r="J125" s="120"/>
      <c r="K125" s="120">
        <v>15000</v>
      </c>
      <c r="L125" s="383"/>
      <c r="M125" s="90">
        <f t="shared" si="29"/>
        <v>0</v>
      </c>
      <c r="N125" s="99"/>
      <c r="O125" s="92">
        <f t="shared" ref="O125:O128" si="31">M125+L125-N125</f>
        <v>0</v>
      </c>
    </row>
    <row r="126" spans="1:15" ht="15.6" thickBot="1" x14ac:dyDescent="0.3">
      <c r="A126" s="85"/>
      <c r="B126" s="401"/>
      <c r="C126" s="403"/>
      <c r="D126" s="94" t="s">
        <v>90</v>
      </c>
      <c r="E126" s="95"/>
      <c r="F126" s="96"/>
      <c r="G126" s="95"/>
      <c r="H126" s="96"/>
      <c r="I126" s="93"/>
      <c r="J126" s="93"/>
      <c r="K126" s="93"/>
      <c r="L126" s="383"/>
      <c r="M126" s="90">
        <f t="shared" si="29"/>
        <v>0</v>
      </c>
      <c r="N126" s="98"/>
      <c r="O126" s="92">
        <f t="shared" si="31"/>
        <v>0</v>
      </c>
    </row>
    <row r="127" spans="1:15" ht="15.6" thickBot="1" x14ac:dyDescent="0.3">
      <c r="A127" s="85"/>
      <c r="B127" s="401"/>
      <c r="C127" s="403"/>
      <c r="D127" s="94" t="s">
        <v>91</v>
      </c>
      <c r="E127" s="95"/>
      <c r="F127" s="96"/>
      <c r="G127" s="95"/>
      <c r="H127" s="96"/>
      <c r="I127" s="93">
        <v>0</v>
      </c>
      <c r="J127" s="93"/>
      <c r="K127" s="93">
        <v>2000</v>
      </c>
      <c r="L127" s="383"/>
      <c r="M127" s="90">
        <f t="shared" si="29"/>
        <v>0</v>
      </c>
      <c r="N127" s="98"/>
      <c r="O127" s="92">
        <f t="shared" si="31"/>
        <v>0</v>
      </c>
    </row>
    <row r="128" spans="1:15" ht="30.6" thickBot="1" x14ac:dyDescent="0.3">
      <c r="A128" s="85"/>
      <c r="B128" s="401"/>
      <c r="C128" s="403"/>
      <c r="D128" s="94" t="s">
        <v>92</v>
      </c>
      <c r="E128" s="95"/>
      <c r="F128" s="96"/>
      <c r="G128" s="95"/>
      <c r="H128" s="96"/>
      <c r="I128" s="93">
        <v>0</v>
      </c>
      <c r="J128" s="93"/>
      <c r="K128" s="93">
        <v>0</v>
      </c>
      <c r="L128" s="383"/>
      <c r="M128" s="90">
        <f t="shared" si="29"/>
        <v>0</v>
      </c>
      <c r="N128" s="98"/>
      <c r="O128" s="92">
        <f t="shared" si="31"/>
        <v>0</v>
      </c>
    </row>
    <row r="129" spans="1:15" x14ac:dyDescent="0.25">
      <c r="A129" s="85"/>
      <c r="B129" s="401"/>
      <c r="C129" s="403"/>
      <c r="D129" s="94" t="s">
        <v>189</v>
      </c>
      <c r="E129" s="95"/>
      <c r="F129" s="96"/>
      <c r="G129" s="95"/>
      <c r="H129" s="96"/>
      <c r="I129" s="93"/>
      <c r="J129" s="93"/>
      <c r="K129" s="93"/>
      <c r="L129" s="384"/>
      <c r="M129" s="90">
        <f t="shared" si="29"/>
        <v>0</v>
      </c>
      <c r="N129" s="98"/>
      <c r="O129" s="92">
        <f>L123</f>
        <v>-1999.99</v>
      </c>
    </row>
    <row r="130" spans="1:15" ht="16.2" thickBot="1" x14ac:dyDescent="0.35">
      <c r="A130" s="143"/>
      <c r="B130" s="413"/>
      <c r="C130" s="404"/>
      <c r="D130" s="123" t="s">
        <v>38</v>
      </c>
      <c r="E130" s="124"/>
      <c r="F130" s="125"/>
      <c r="G130" s="124"/>
      <c r="H130" s="125"/>
      <c r="I130" s="126"/>
      <c r="J130" s="126"/>
      <c r="K130" s="126"/>
      <c r="L130" s="127"/>
      <c r="M130" s="127"/>
      <c r="N130" s="128"/>
      <c r="O130" s="107">
        <f>SUM(O123:O129)</f>
        <v>-1999.99</v>
      </c>
    </row>
    <row r="131" spans="1:15" ht="15.6" x14ac:dyDescent="0.3">
      <c r="A131" s="143"/>
      <c r="B131" s="258"/>
      <c r="C131" s="151"/>
      <c r="D131" s="112"/>
      <c r="E131" s="138"/>
      <c r="F131" s="139"/>
      <c r="G131" s="138"/>
      <c r="H131" s="139"/>
      <c r="L131" s="140"/>
      <c r="M131" s="140"/>
      <c r="N131" s="141"/>
      <c r="O131" s="142"/>
    </row>
    <row r="132" spans="1:15" ht="15.6" x14ac:dyDescent="0.3">
      <c r="A132" s="143"/>
      <c r="B132" s="258"/>
      <c r="C132" s="151"/>
      <c r="D132" s="112"/>
      <c r="E132" s="138"/>
      <c r="F132" s="139"/>
      <c r="G132" s="138"/>
      <c r="H132" s="139"/>
      <c r="L132" s="140"/>
      <c r="M132" s="140"/>
      <c r="N132" s="141"/>
      <c r="O132" s="142"/>
    </row>
    <row r="133" spans="1:15" ht="16.2" thickBot="1" x14ac:dyDescent="0.35">
      <c r="A133" s="143"/>
      <c r="B133" s="258"/>
      <c r="C133" s="151"/>
      <c r="D133" s="112"/>
      <c r="E133" s="138"/>
      <c r="F133" s="139"/>
      <c r="G133" s="138"/>
      <c r="H133" s="139"/>
      <c r="L133" s="140"/>
      <c r="M133" s="140"/>
      <c r="N133" s="141"/>
      <c r="O133" s="142"/>
    </row>
    <row r="134" spans="1:15" ht="31.8" thickBot="1" x14ac:dyDescent="0.3">
      <c r="A134" s="143"/>
      <c r="B134" s="143" t="s">
        <v>0</v>
      </c>
      <c r="C134" s="144" t="s">
        <v>1</v>
      </c>
      <c r="D134" s="143"/>
      <c r="E134" s="144" t="s">
        <v>198</v>
      </c>
      <c r="F134" s="145" t="s">
        <v>194</v>
      </c>
      <c r="G134" s="144" t="s">
        <v>196</v>
      </c>
      <c r="H134" s="145" t="s">
        <v>9</v>
      </c>
      <c r="I134" s="143" t="s">
        <v>2</v>
      </c>
      <c r="J134" s="77" t="s">
        <v>39</v>
      </c>
      <c r="K134" s="144" t="s">
        <v>13</v>
      </c>
      <c r="L134" s="144" t="s">
        <v>14</v>
      </c>
      <c r="M134" s="146" t="s">
        <v>15</v>
      </c>
      <c r="N134" s="147" t="s">
        <v>11</v>
      </c>
      <c r="O134" s="148" t="s">
        <v>12</v>
      </c>
    </row>
    <row r="135" spans="1:15" ht="15.6" thickBot="1" x14ac:dyDescent="0.3">
      <c r="A135" s="85">
        <v>1</v>
      </c>
      <c r="B135" s="410" t="s">
        <v>105</v>
      </c>
      <c r="C135" s="392">
        <v>206</v>
      </c>
      <c r="D135" s="87" t="s">
        <v>35</v>
      </c>
      <c r="E135" s="88">
        <v>358.3</v>
      </c>
      <c r="F135" s="171">
        <v>46163</v>
      </c>
      <c r="G135" s="88">
        <v>381</v>
      </c>
      <c r="H135" s="171">
        <v>46197</v>
      </c>
      <c r="I135" s="86">
        <f>G135-E135</f>
        <v>22.699999999999989</v>
      </c>
      <c r="J135" s="86"/>
      <c r="K135" s="86">
        <v>257</v>
      </c>
      <c r="L135" s="395">
        <v>20970.400000000001</v>
      </c>
      <c r="M135" s="90">
        <f t="shared" ref="M135:M141" si="32">I135*K135+J135</f>
        <v>5833.8999999999969</v>
      </c>
      <c r="N135" s="91">
        <v>0</v>
      </c>
      <c r="O135" s="92">
        <f t="shared" ref="O135:O136" si="33">M135-N135</f>
        <v>5833.8999999999969</v>
      </c>
    </row>
    <row r="136" spans="1:15" ht="15.6" thickBot="1" x14ac:dyDescent="0.3">
      <c r="A136" s="85"/>
      <c r="B136" s="411"/>
      <c r="C136" s="393"/>
      <c r="D136" s="94" t="s">
        <v>36</v>
      </c>
      <c r="E136" s="95">
        <v>63</v>
      </c>
      <c r="F136" s="171">
        <v>46163</v>
      </c>
      <c r="G136" s="95">
        <v>67</v>
      </c>
      <c r="H136" s="171">
        <v>46197</v>
      </c>
      <c r="I136" s="86">
        <f>G136-E136</f>
        <v>4</v>
      </c>
      <c r="J136" s="86">
        <v>1000</v>
      </c>
      <c r="K136" s="93">
        <v>1200</v>
      </c>
      <c r="L136" s="396"/>
      <c r="M136" s="90">
        <f t="shared" si="32"/>
        <v>5800</v>
      </c>
      <c r="N136" s="98"/>
      <c r="O136" s="92">
        <f t="shared" si="33"/>
        <v>5800</v>
      </c>
    </row>
    <row r="137" spans="1:15" ht="15.6" thickBot="1" x14ac:dyDescent="0.3">
      <c r="A137" s="85"/>
      <c r="B137" s="411"/>
      <c r="C137" s="393"/>
      <c r="D137" s="117" t="s">
        <v>37</v>
      </c>
      <c r="E137" s="118"/>
      <c r="F137" s="119"/>
      <c r="G137" s="118"/>
      <c r="H137" s="119"/>
      <c r="I137" s="120">
        <v>1</v>
      </c>
      <c r="J137" s="120"/>
      <c r="K137" s="120">
        <v>25000</v>
      </c>
      <c r="L137" s="396"/>
      <c r="M137" s="90">
        <f t="shared" si="32"/>
        <v>25000</v>
      </c>
      <c r="N137" s="99"/>
      <c r="O137" s="92">
        <f t="shared" ref="O137:O140" si="34">M137+L137-N137</f>
        <v>25000</v>
      </c>
    </row>
    <row r="138" spans="1:15" ht="15.6" thickBot="1" x14ac:dyDescent="0.3">
      <c r="A138" s="85"/>
      <c r="B138" s="411"/>
      <c r="C138" s="393"/>
      <c r="D138" s="94" t="s">
        <v>90</v>
      </c>
      <c r="E138" s="95"/>
      <c r="F138" s="96"/>
      <c r="G138" s="95"/>
      <c r="H138" s="96"/>
      <c r="I138" s="93"/>
      <c r="J138" s="93"/>
      <c r="K138" s="93"/>
      <c r="L138" s="396"/>
      <c r="M138" s="90">
        <f t="shared" si="32"/>
        <v>0</v>
      </c>
      <c r="N138" s="98"/>
      <c r="O138" s="92">
        <f t="shared" si="34"/>
        <v>0</v>
      </c>
    </row>
    <row r="139" spans="1:15" ht="15.6" thickBot="1" x14ac:dyDescent="0.3">
      <c r="A139" s="85"/>
      <c r="B139" s="411"/>
      <c r="C139" s="393"/>
      <c r="D139" s="94" t="s">
        <v>91</v>
      </c>
      <c r="E139" s="95"/>
      <c r="F139" s="96"/>
      <c r="G139" s="95"/>
      <c r="H139" s="96"/>
      <c r="I139" s="93">
        <v>1</v>
      </c>
      <c r="J139" s="93"/>
      <c r="K139" s="93">
        <v>2000</v>
      </c>
      <c r="L139" s="396"/>
      <c r="M139" s="90">
        <f t="shared" si="32"/>
        <v>2000</v>
      </c>
      <c r="N139" s="98"/>
      <c r="O139" s="92">
        <f t="shared" si="34"/>
        <v>2000</v>
      </c>
    </row>
    <row r="140" spans="1:15" ht="39.75" customHeight="1" thickBot="1" x14ac:dyDescent="0.3">
      <c r="A140" s="85"/>
      <c r="B140" s="411"/>
      <c r="C140" s="393"/>
      <c r="D140" s="94" t="s">
        <v>92</v>
      </c>
      <c r="E140" s="95"/>
      <c r="F140" s="96"/>
      <c r="G140" s="95"/>
      <c r="H140" s="96"/>
      <c r="I140" s="93">
        <v>0</v>
      </c>
      <c r="J140" s="93"/>
      <c r="K140" s="93">
        <v>0</v>
      </c>
      <c r="L140" s="396"/>
      <c r="M140" s="90">
        <f t="shared" si="32"/>
        <v>0</v>
      </c>
      <c r="N140" s="98"/>
      <c r="O140" s="92">
        <f t="shared" si="34"/>
        <v>0</v>
      </c>
    </row>
    <row r="141" spans="1:15" x14ac:dyDescent="0.25">
      <c r="A141" s="85"/>
      <c r="B141" s="411"/>
      <c r="C141" s="393"/>
      <c r="D141" s="94" t="s">
        <v>189</v>
      </c>
      <c r="E141" s="95"/>
      <c r="F141" s="96"/>
      <c r="G141" s="95"/>
      <c r="H141" s="96"/>
      <c r="I141" s="93"/>
      <c r="J141" s="93"/>
      <c r="K141" s="93"/>
      <c r="L141" s="396"/>
      <c r="M141" s="90">
        <f t="shared" si="32"/>
        <v>0</v>
      </c>
      <c r="N141" s="98"/>
      <c r="O141" s="92">
        <f>L135</f>
        <v>20970.400000000001</v>
      </c>
    </row>
    <row r="142" spans="1:15" ht="30.75" customHeight="1" thickBot="1" x14ac:dyDescent="0.35">
      <c r="A142" s="143"/>
      <c r="B142" s="412"/>
      <c r="C142" s="394"/>
      <c r="D142" s="123" t="s">
        <v>38</v>
      </c>
      <c r="E142" s="124"/>
      <c r="F142" s="125"/>
      <c r="G142" s="124"/>
      <c r="H142" s="125"/>
      <c r="I142" s="126"/>
      <c r="J142" s="126"/>
      <c r="K142" s="126"/>
      <c r="L142" s="397"/>
      <c r="M142" s="127"/>
      <c r="N142" s="128"/>
      <c r="O142" s="107">
        <f>SUM(O135:O141)</f>
        <v>59604.299999999996</v>
      </c>
    </row>
    <row r="143" spans="1:15" ht="55.5" customHeight="1" thickBot="1" x14ac:dyDescent="0.3">
      <c r="A143" s="143"/>
      <c r="B143" s="143" t="s">
        <v>0</v>
      </c>
      <c r="C143" s="144" t="s">
        <v>1</v>
      </c>
      <c r="D143" s="143"/>
      <c r="E143" s="144" t="s">
        <v>198</v>
      </c>
      <c r="F143" s="145" t="s">
        <v>194</v>
      </c>
      <c r="G143" s="144" t="s">
        <v>196</v>
      </c>
      <c r="H143" s="145" t="s">
        <v>9</v>
      </c>
      <c r="I143" s="143" t="s">
        <v>2</v>
      </c>
      <c r="J143" s="77" t="s">
        <v>39</v>
      </c>
      <c r="K143" s="144" t="s">
        <v>13</v>
      </c>
      <c r="L143" s="144" t="s">
        <v>14</v>
      </c>
      <c r="M143" s="146" t="s">
        <v>15</v>
      </c>
      <c r="N143" s="147" t="s">
        <v>11</v>
      </c>
      <c r="O143" s="148" t="s">
        <v>12</v>
      </c>
    </row>
    <row r="144" spans="1:15" ht="15.6" thickBot="1" x14ac:dyDescent="0.3">
      <c r="A144" s="85">
        <v>1</v>
      </c>
      <c r="B144" s="405" t="s">
        <v>106</v>
      </c>
      <c r="C144" s="392">
        <v>301</v>
      </c>
      <c r="D144" s="87" t="s">
        <v>35</v>
      </c>
      <c r="E144" s="88">
        <v>30.5</v>
      </c>
      <c r="F144" s="171">
        <v>46163</v>
      </c>
      <c r="G144" s="88">
        <v>30.5</v>
      </c>
      <c r="H144" s="171">
        <v>46197</v>
      </c>
      <c r="I144" s="86">
        <f>G144-E144</f>
        <v>0</v>
      </c>
      <c r="J144" s="86"/>
      <c r="K144" s="86">
        <v>257</v>
      </c>
      <c r="L144" s="382">
        <v>400</v>
      </c>
      <c r="M144" s="90">
        <f t="shared" ref="M144:M150" si="35">I144*K144+J144</f>
        <v>0</v>
      </c>
      <c r="N144" s="91">
        <v>0</v>
      </c>
      <c r="O144" s="92">
        <f t="shared" ref="O144:O145" si="36">M144-N144</f>
        <v>0</v>
      </c>
    </row>
    <row r="145" spans="1:15" ht="15.6" thickBot="1" x14ac:dyDescent="0.3">
      <c r="A145" s="85"/>
      <c r="B145" s="406"/>
      <c r="C145" s="393"/>
      <c r="D145" s="94" t="s">
        <v>36</v>
      </c>
      <c r="E145" s="95">
        <v>4</v>
      </c>
      <c r="F145" s="171">
        <v>46163</v>
      </c>
      <c r="G145" s="95">
        <v>4</v>
      </c>
      <c r="H145" s="171">
        <v>46197</v>
      </c>
      <c r="I145" s="86">
        <f>G145-E145</f>
        <v>0</v>
      </c>
      <c r="J145" s="86">
        <v>0</v>
      </c>
      <c r="K145" s="93">
        <v>1200</v>
      </c>
      <c r="L145" s="383"/>
      <c r="M145" s="267">
        <f t="shared" si="35"/>
        <v>0</v>
      </c>
      <c r="N145" s="98"/>
      <c r="O145" s="92">
        <f t="shared" si="36"/>
        <v>0</v>
      </c>
    </row>
    <row r="146" spans="1:15" ht="15.6" thickBot="1" x14ac:dyDescent="0.3">
      <c r="A146" s="85"/>
      <c r="B146" s="406"/>
      <c r="C146" s="393"/>
      <c r="D146" s="117" t="s">
        <v>37</v>
      </c>
      <c r="E146" s="118"/>
      <c r="F146" s="119"/>
      <c r="G146" s="118"/>
      <c r="H146" s="119"/>
      <c r="I146" s="120">
        <v>1</v>
      </c>
      <c r="J146" s="120"/>
      <c r="K146" s="120">
        <v>15000</v>
      </c>
      <c r="L146" s="383"/>
      <c r="M146" s="90">
        <f t="shared" si="35"/>
        <v>15000</v>
      </c>
      <c r="N146" s="99"/>
      <c r="O146" s="92">
        <f t="shared" ref="O146:O149" si="37">M146+L146-N146</f>
        <v>15000</v>
      </c>
    </row>
    <row r="147" spans="1:15" ht="15.6" thickBot="1" x14ac:dyDescent="0.3">
      <c r="A147" s="85"/>
      <c r="B147" s="406"/>
      <c r="C147" s="393"/>
      <c r="D147" s="94" t="s">
        <v>90</v>
      </c>
      <c r="E147" s="95"/>
      <c r="F147" s="96"/>
      <c r="G147" s="95"/>
      <c r="H147" s="96"/>
      <c r="I147" s="93"/>
      <c r="J147" s="93"/>
      <c r="K147" s="93"/>
      <c r="L147" s="383"/>
      <c r="M147" s="90">
        <f t="shared" si="35"/>
        <v>0</v>
      </c>
      <c r="N147" s="98"/>
      <c r="O147" s="92">
        <f t="shared" si="37"/>
        <v>0</v>
      </c>
    </row>
    <row r="148" spans="1:15" ht="15.6" thickBot="1" x14ac:dyDescent="0.3">
      <c r="A148" s="85"/>
      <c r="B148" s="406"/>
      <c r="C148" s="393"/>
      <c r="D148" s="94" t="s">
        <v>91</v>
      </c>
      <c r="E148" s="95"/>
      <c r="F148" s="96"/>
      <c r="G148" s="95"/>
      <c r="H148" s="96"/>
      <c r="I148" s="93">
        <v>0</v>
      </c>
      <c r="J148" s="93"/>
      <c r="K148" s="93">
        <v>2000</v>
      </c>
      <c r="L148" s="383"/>
      <c r="M148" s="90">
        <f t="shared" si="35"/>
        <v>0</v>
      </c>
      <c r="N148" s="98"/>
      <c r="O148" s="92">
        <f t="shared" si="37"/>
        <v>0</v>
      </c>
    </row>
    <row r="149" spans="1:15" ht="30.6" thickBot="1" x14ac:dyDescent="0.3">
      <c r="A149" s="85"/>
      <c r="B149" s="406"/>
      <c r="C149" s="393"/>
      <c r="D149" s="94" t="s">
        <v>92</v>
      </c>
      <c r="E149" s="95"/>
      <c r="F149" s="96"/>
      <c r="G149" s="95"/>
      <c r="H149" s="96"/>
      <c r="I149" s="93">
        <v>0</v>
      </c>
      <c r="J149" s="93"/>
      <c r="K149" s="93">
        <v>0</v>
      </c>
      <c r="L149" s="383"/>
      <c r="M149" s="90">
        <f t="shared" si="35"/>
        <v>0</v>
      </c>
      <c r="N149" s="98"/>
      <c r="O149" s="92">
        <f t="shared" si="37"/>
        <v>0</v>
      </c>
    </row>
    <row r="150" spans="1:15" x14ac:dyDescent="0.25">
      <c r="A150" s="85"/>
      <c r="B150" s="406"/>
      <c r="C150" s="393"/>
      <c r="D150" s="94" t="s">
        <v>189</v>
      </c>
      <c r="E150" s="95"/>
      <c r="F150" s="96"/>
      <c r="G150" s="95"/>
      <c r="H150" s="96"/>
      <c r="I150" s="93"/>
      <c r="J150" s="93"/>
      <c r="K150" s="93"/>
      <c r="L150" s="384"/>
      <c r="M150" s="90">
        <f t="shared" si="35"/>
        <v>0</v>
      </c>
      <c r="N150" s="98"/>
      <c r="O150" s="92">
        <f>L144</f>
        <v>400</v>
      </c>
    </row>
    <row r="151" spans="1:15" ht="16.2" thickBot="1" x14ac:dyDescent="0.35">
      <c r="A151" s="143"/>
      <c r="B151" s="407"/>
      <c r="C151" s="394"/>
      <c r="D151" s="123" t="s">
        <v>38</v>
      </c>
      <c r="E151" s="124"/>
      <c r="F151" s="125"/>
      <c r="G151" s="124"/>
      <c r="H151" s="125"/>
      <c r="I151" s="126"/>
      <c r="J151" s="126"/>
      <c r="K151" s="126"/>
      <c r="L151" s="127"/>
      <c r="M151" s="127"/>
      <c r="N151" s="128"/>
      <c r="O151" s="107">
        <f>SUM(O144:O150)</f>
        <v>15400</v>
      </c>
    </row>
    <row r="152" spans="1:15" ht="16.2" thickBot="1" x14ac:dyDescent="0.35">
      <c r="A152" s="143"/>
      <c r="B152" s="150"/>
      <c r="C152" s="137"/>
      <c r="D152" s="112"/>
      <c r="E152" s="138"/>
      <c r="F152" s="139"/>
      <c r="G152" s="138"/>
      <c r="H152" s="139"/>
      <c r="L152" s="140"/>
      <c r="M152" s="140"/>
      <c r="N152" s="141"/>
      <c r="O152" s="142"/>
    </row>
    <row r="153" spans="1:15" ht="51.75" customHeight="1" thickBot="1" x14ac:dyDescent="0.3">
      <c r="A153" s="143"/>
      <c r="B153" s="143" t="s">
        <v>0</v>
      </c>
      <c r="C153" s="144" t="s">
        <v>1</v>
      </c>
      <c r="D153" s="143"/>
      <c r="E153" s="144" t="s">
        <v>198</v>
      </c>
      <c r="F153" s="145" t="s">
        <v>194</v>
      </c>
      <c r="G153" s="144" t="s">
        <v>196</v>
      </c>
      <c r="H153" s="145" t="s">
        <v>9</v>
      </c>
      <c r="I153" s="143" t="s">
        <v>2</v>
      </c>
      <c r="J153" s="77" t="s">
        <v>39</v>
      </c>
      <c r="K153" s="144" t="s">
        <v>13</v>
      </c>
      <c r="L153" s="144" t="s">
        <v>14</v>
      </c>
      <c r="M153" s="146" t="s">
        <v>15</v>
      </c>
      <c r="N153" s="147" t="s">
        <v>11</v>
      </c>
      <c r="O153" s="148" t="s">
        <v>12</v>
      </c>
    </row>
    <row r="154" spans="1:15" ht="15.6" thickBot="1" x14ac:dyDescent="0.3">
      <c r="A154" s="85">
        <v>1</v>
      </c>
      <c r="B154" s="405" t="s">
        <v>107</v>
      </c>
      <c r="C154" s="402" t="s">
        <v>108</v>
      </c>
      <c r="D154" s="87" t="s">
        <v>35</v>
      </c>
      <c r="E154" s="88">
        <v>2960.5</v>
      </c>
      <c r="F154" s="171">
        <v>46163</v>
      </c>
      <c r="G154" s="88">
        <v>3004.8</v>
      </c>
      <c r="H154" s="171">
        <v>46197</v>
      </c>
      <c r="I154" s="86">
        <f>G154-E154</f>
        <v>44.300000000000182</v>
      </c>
      <c r="J154" s="86"/>
      <c r="K154" s="86">
        <v>257</v>
      </c>
      <c r="L154" s="382">
        <v>16.7</v>
      </c>
      <c r="M154" s="90">
        <f t="shared" ref="M154:M160" si="38">I154*K154+J154</f>
        <v>11385.100000000046</v>
      </c>
      <c r="N154" s="91">
        <v>0</v>
      </c>
      <c r="O154" s="92">
        <f t="shared" ref="O154:O155" si="39">M154-N154</f>
        <v>11385.100000000046</v>
      </c>
    </row>
    <row r="155" spans="1:15" ht="15.6" thickBot="1" x14ac:dyDescent="0.3">
      <c r="A155" s="85"/>
      <c r="B155" s="406"/>
      <c r="C155" s="403"/>
      <c r="D155" s="94" t="s">
        <v>36</v>
      </c>
      <c r="E155" s="95">
        <v>304</v>
      </c>
      <c r="F155" s="171">
        <v>46163</v>
      </c>
      <c r="G155" s="95">
        <v>304</v>
      </c>
      <c r="H155" s="171">
        <v>46197</v>
      </c>
      <c r="I155" s="86">
        <f>G155-E155</f>
        <v>0</v>
      </c>
      <c r="J155" s="86">
        <v>0</v>
      </c>
      <c r="K155" s="93">
        <v>1200</v>
      </c>
      <c r="L155" s="383"/>
      <c r="M155" s="90">
        <f t="shared" si="38"/>
        <v>0</v>
      </c>
      <c r="N155" s="98"/>
      <c r="O155" s="92">
        <f t="shared" si="39"/>
        <v>0</v>
      </c>
    </row>
    <row r="156" spans="1:15" ht="15.6" thickBot="1" x14ac:dyDescent="0.3">
      <c r="A156" s="85"/>
      <c r="B156" s="406"/>
      <c r="C156" s="403"/>
      <c r="D156" s="117" t="s">
        <v>37</v>
      </c>
      <c r="E156" s="118"/>
      <c r="F156" s="119"/>
      <c r="G156" s="118"/>
      <c r="H156" s="119"/>
      <c r="I156" s="120">
        <v>1</v>
      </c>
      <c r="J156" s="120"/>
      <c r="K156" s="120">
        <v>15000</v>
      </c>
      <c r="L156" s="383"/>
      <c r="M156" s="90">
        <f t="shared" si="38"/>
        <v>15000</v>
      </c>
      <c r="N156" s="99"/>
      <c r="O156" s="92">
        <f t="shared" ref="O156:O159" si="40">M156+L156-N156</f>
        <v>15000</v>
      </c>
    </row>
    <row r="157" spans="1:15" ht="15.6" thickBot="1" x14ac:dyDescent="0.3">
      <c r="A157" s="85"/>
      <c r="B157" s="406"/>
      <c r="C157" s="403"/>
      <c r="D157" s="94" t="s">
        <v>90</v>
      </c>
      <c r="E157" s="95"/>
      <c r="F157" s="96"/>
      <c r="G157" s="95"/>
      <c r="H157" s="96"/>
      <c r="I157" s="93"/>
      <c r="J157" s="93"/>
      <c r="K157" s="93">
        <v>0</v>
      </c>
      <c r="L157" s="383"/>
      <c r="M157" s="90">
        <f t="shared" si="38"/>
        <v>0</v>
      </c>
      <c r="N157" s="98"/>
      <c r="O157" s="92">
        <f t="shared" si="40"/>
        <v>0</v>
      </c>
    </row>
    <row r="158" spans="1:15" ht="15.6" thickBot="1" x14ac:dyDescent="0.3">
      <c r="A158" s="85"/>
      <c r="B158" s="406"/>
      <c r="C158" s="403"/>
      <c r="D158" s="94" t="s">
        <v>91</v>
      </c>
      <c r="E158" s="95"/>
      <c r="F158" s="96"/>
      <c r="G158" s="95"/>
      <c r="H158" s="96"/>
      <c r="I158" s="93">
        <v>1</v>
      </c>
      <c r="J158" s="93"/>
      <c r="K158" s="93">
        <v>2000</v>
      </c>
      <c r="L158" s="383"/>
      <c r="M158" s="90">
        <f t="shared" si="38"/>
        <v>2000</v>
      </c>
      <c r="N158" s="98"/>
      <c r="O158" s="92">
        <f t="shared" si="40"/>
        <v>2000</v>
      </c>
    </row>
    <row r="159" spans="1:15" ht="30.6" thickBot="1" x14ac:dyDescent="0.3">
      <c r="A159" s="85"/>
      <c r="B159" s="406"/>
      <c r="C159" s="403"/>
      <c r="D159" s="94" t="s">
        <v>92</v>
      </c>
      <c r="E159" s="95"/>
      <c r="F159" s="96"/>
      <c r="G159" s="95"/>
      <c r="H159" s="96"/>
      <c r="I159" s="93"/>
      <c r="J159" s="93"/>
      <c r="K159" s="93"/>
      <c r="L159" s="383"/>
      <c r="M159" s="90">
        <f t="shared" si="38"/>
        <v>0</v>
      </c>
      <c r="N159" s="98"/>
      <c r="O159" s="92">
        <f t="shared" si="40"/>
        <v>0</v>
      </c>
    </row>
    <row r="160" spans="1:15" x14ac:dyDescent="0.25">
      <c r="A160" s="85"/>
      <c r="B160" s="406"/>
      <c r="C160" s="403"/>
      <c r="D160" s="94" t="s">
        <v>189</v>
      </c>
      <c r="E160" s="95"/>
      <c r="F160" s="96"/>
      <c r="G160" s="95"/>
      <c r="H160" s="96"/>
      <c r="I160" s="93"/>
      <c r="J160" s="93"/>
      <c r="K160" s="93"/>
      <c r="L160" s="384"/>
      <c r="M160" s="90">
        <f t="shared" si="38"/>
        <v>0</v>
      </c>
      <c r="N160" s="98"/>
      <c r="O160" s="92">
        <f>L154</f>
        <v>16.7</v>
      </c>
    </row>
    <row r="161" spans="1:15" ht="16.2" thickBot="1" x14ac:dyDescent="0.35">
      <c r="A161" s="143"/>
      <c r="B161" s="407"/>
      <c r="C161" s="404"/>
      <c r="D161" s="123" t="s">
        <v>38</v>
      </c>
      <c r="E161" s="124"/>
      <c r="F161" s="125"/>
      <c r="G161" s="124"/>
      <c r="H161" s="125"/>
      <c r="I161" s="126"/>
      <c r="J161" s="126"/>
      <c r="K161" s="126"/>
      <c r="L161" s="127"/>
      <c r="M161" s="127"/>
      <c r="N161" s="128"/>
      <c r="O161" s="107">
        <f>SUM(O154:O160)</f>
        <v>28401.800000000047</v>
      </c>
    </row>
    <row r="162" spans="1:15" ht="16.2" thickBot="1" x14ac:dyDescent="0.35">
      <c r="A162" s="143"/>
      <c r="B162" s="150"/>
      <c r="C162" s="151"/>
      <c r="D162" s="112"/>
      <c r="E162" s="138"/>
      <c r="F162" s="139"/>
      <c r="G162" s="138"/>
      <c r="H162" s="139"/>
      <c r="J162" s="129"/>
      <c r="L162" s="140"/>
      <c r="M162" s="140"/>
      <c r="N162" s="141"/>
      <c r="O162" s="142"/>
    </row>
    <row r="163" spans="1:15" ht="16.2" thickBot="1" x14ac:dyDescent="0.35">
      <c r="A163" s="143"/>
      <c r="B163" s="150"/>
      <c r="C163" s="151"/>
      <c r="D163" s="112"/>
      <c r="E163" s="138"/>
      <c r="F163" s="139"/>
      <c r="G163" s="138"/>
      <c r="H163" s="139"/>
      <c r="J163" s="129"/>
      <c r="L163" s="140"/>
      <c r="M163" s="140"/>
      <c r="N163" s="141"/>
      <c r="O163" s="142"/>
    </row>
    <row r="164" spans="1:15" ht="16.2" thickBot="1" x14ac:dyDescent="0.35">
      <c r="A164" s="143"/>
      <c r="B164" s="150"/>
      <c r="C164" s="151"/>
      <c r="D164" s="112"/>
      <c r="E164" s="138"/>
      <c r="F164" s="139"/>
      <c r="G164" s="138"/>
      <c r="H164" s="139"/>
      <c r="J164" s="129"/>
      <c r="L164" s="140"/>
      <c r="M164" s="140"/>
      <c r="N164" s="141"/>
      <c r="O164" s="142"/>
    </row>
    <row r="165" spans="1:15" ht="31.8" thickBot="1" x14ac:dyDescent="0.3">
      <c r="A165" s="143"/>
      <c r="B165" s="143" t="s">
        <v>0</v>
      </c>
      <c r="C165" s="144" t="s">
        <v>1</v>
      </c>
      <c r="D165" s="143"/>
      <c r="E165" s="144" t="s">
        <v>198</v>
      </c>
      <c r="F165" s="145" t="s">
        <v>194</v>
      </c>
      <c r="G165" s="144" t="s">
        <v>196</v>
      </c>
      <c r="H165" s="145" t="s">
        <v>9</v>
      </c>
      <c r="I165" s="143" t="s">
        <v>2</v>
      </c>
      <c r="J165" s="77" t="s">
        <v>39</v>
      </c>
      <c r="K165" s="144" t="s">
        <v>13</v>
      </c>
      <c r="L165" s="144" t="s">
        <v>14</v>
      </c>
      <c r="M165" s="146" t="s">
        <v>15</v>
      </c>
      <c r="N165" s="147" t="s">
        <v>11</v>
      </c>
      <c r="O165" s="148" t="s">
        <v>12</v>
      </c>
    </row>
    <row r="166" spans="1:15" ht="15.6" thickBot="1" x14ac:dyDescent="0.3">
      <c r="A166" s="85">
        <v>1</v>
      </c>
      <c r="B166" s="405" t="s">
        <v>171</v>
      </c>
      <c r="C166" s="414">
        <v>303</v>
      </c>
      <c r="D166" s="87" t="s">
        <v>35</v>
      </c>
      <c r="E166" s="88">
        <v>805.6</v>
      </c>
      <c r="F166" s="171">
        <v>46163</v>
      </c>
      <c r="G166" s="88">
        <v>899.6</v>
      </c>
      <c r="H166" s="171">
        <v>46197</v>
      </c>
      <c r="I166" s="86">
        <f>G166-E166</f>
        <v>94</v>
      </c>
      <c r="J166" s="86"/>
      <c r="K166" s="86">
        <v>257</v>
      </c>
      <c r="L166" s="382">
        <v>-27</v>
      </c>
      <c r="M166" s="90">
        <f t="shared" ref="M166:M172" si="41">I166*K166+J166</f>
        <v>24158</v>
      </c>
      <c r="N166" s="91">
        <v>0</v>
      </c>
      <c r="O166" s="92">
        <f t="shared" ref="O166:O167" si="42">M166-N166</f>
        <v>24158</v>
      </c>
    </row>
    <row r="167" spans="1:15" ht="15.6" thickBot="1" x14ac:dyDescent="0.3">
      <c r="A167" s="85"/>
      <c r="B167" s="406"/>
      <c r="C167" s="415"/>
      <c r="D167" s="94" t="s">
        <v>36</v>
      </c>
      <c r="E167" s="95">
        <v>51</v>
      </c>
      <c r="F167" s="171">
        <v>46163</v>
      </c>
      <c r="G167" s="95">
        <v>55</v>
      </c>
      <c r="H167" s="171">
        <v>46197</v>
      </c>
      <c r="I167" s="86">
        <f>G167-E167</f>
        <v>4</v>
      </c>
      <c r="J167" s="86">
        <v>1000</v>
      </c>
      <c r="K167" s="93">
        <v>1200</v>
      </c>
      <c r="L167" s="383"/>
      <c r="M167" s="90">
        <f t="shared" si="41"/>
        <v>5800</v>
      </c>
      <c r="N167" s="98"/>
      <c r="O167" s="92">
        <f t="shared" si="42"/>
        <v>5800</v>
      </c>
    </row>
    <row r="168" spans="1:15" ht="15.6" thickBot="1" x14ac:dyDescent="0.3">
      <c r="A168" s="85"/>
      <c r="B168" s="406"/>
      <c r="C168" s="415"/>
      <c r="D168" s="117" t="s">
        <v>37</v>
      </c>
      <c r="E168" s="118"/>
      <c r="F168" s="119"/>
      <c r="G168" s="118"/>
      <c r="H168" s="119"/>
      <c r="I168" s="120">
        <v>1</v>
      </c>
      <c r="J168" s="120"/>
      <c r="K168" s="120">
        <v>25000</v>
      </c>
      <c r="L168" s="383"/>
      <c r="M168" s="90">
        <f t="shared" si="41"/>
        <v>25000</v>
      </c>
      <c r="N168" s="99"/>
      <c r="O168" s="92">
        <f t="shared" ref="O168:O171" si="43">M168+L168-N168</f>
        <v>25000</v>
      </c>
    </row>
    <row r="169" spans="1:15" ht="15.6" thickBot="1" x14ac:dyDescent="0.3">
      <c r="A169" s="85"/>
      <c r="B169" s="406"/>
      <c r="C169" s="415"/>
      <c r="D169" s="94" t="s">
        <v>90</v>
      </c>
      <c r="E169" s="95"/>
      <c r="F169" s="96"/>
      <c r="G169" s="95"/>
      <c r="H169" s="96"/>
      <c r="I169" s="93"/>
      <c r="J169" s="93"/>
      <c r="K169" s="93">
        <v>0</v>
      </c>
      <c r="L169" s="383"/>
      <c r="M169" s="90">
        <f t="shared" si="41"/>
        <v>0</v>
      </c>
      <c r="N169" s="98"/>
      <c r="O169" s="92">
        <f t="shared" si="43"/>
        <v>0</v>
      </c>
    </row>
    <row r="170" spans="1:15" ht="15.6" thickBot="1" x14ac:dyDescent="0.3">
      <c r="A170" s="85"/>
      <c r="B170" s="406"/>
      <c r="C170" s="415"/>
      <c r="D170" s="94" t="s">
        <v>91</v>
      </c>
      <c r="E170" s="95"/>
      <c r="F170" s="96"/>
      <c r="G170" s="95"/>
      <c r="H170" s="96"/>
      <c r="I170" s="93">
        <v>1</v>
      </c>
      <c r="J170" s="93"/>
      <c r="K170" s="93">
        <v>2000</v>
      </c>
      <c r="L170" s="383"/>
      <c r="M170" s="90">
        <f t="shared" si="41"/>
        <v>2000</v>
      </c>
      <c r="N170" s="98"/>
      <c r="O170" s="92">
        <f t="shared" si="43"/>
        <v>2000</v>
      </c>
    </row>
    <row r="171" spans="1:15" ht="30.6" thickBot="1" x14ac:dyDescent="0.3">
      <c r="A171" s="85"/>
      <c r="B171" s="406"/>
      <c r="C171" s="415"/>
      <c r="D171" s="94" t="s">
        <v>92</v>
      </c>
      <c r="E171" s="95"/>
      <c r="F171" s="96"/>
      <c r="G171" s="95"/>
      <c r="H171" s="96"/>
      <c r="I171" s="93">
        <v>0</v>
      </c>
      <c r="J171" s="93"/>
      <c r="K171" s="93">
        <v>0</v>
      </c>
      <c r="L171" s="383"/>
      <c r="M171" s="90">
        <f t="shared" si="41"/>
        <v>0</v>
      </c>
      <c r="N171" s="98"/>
      <c r="O171" s="92">
        <f t="shared" si="43"/>
        <v>0</v>
      </c>
    </row>
    <row r="172" spans="1:15" x14ac:dyDescent="0.25">
      <c r="A172" s="85"/>
      <c r="B172" s="406"/>
      <c r="C172" s="415"/>
      <c r="D172" s="94" t="s">
        <v>189</v>
      </c>
      <c r="E172" s="95"/>
      <c r="F172" s="96"/>
      <c r="G172" s="95"/>
      <c r="H172" s="96"/>
      <c r="I172" s="93"/>
      <c r="J172" s="93"/>
      <c r="K172" s="93"/>
      <c r="L172" s="384"/>
      <c r="M172" s="90">
        <f t="shared" si="41"/>
        <v>0</v>
      </c>
      <c r="N172" s="98"/>
      <c r="O172" s="92">
        <f>L166</f>
        <v>-27</v>
      </c>
    </row>
    <row r="173" spans="1:15" ht="16.2" thickBot="1" x14ac:dyDescent="0.35">
      <c r="A173" s="143"/>
      <c r="B173" s="407"/>
      <c r="C173" s="416"/>
      <c r="D173" s="123" t="s">
        <v>38</v>
      </c>
      <c r="E173" s="124"/>
      <c r="F173" s="125"/>
      <c r="G173" s="124"/>
      <c r="H173" s="125"/>
      <c r="I173" s="126"/>
      <c r="J173" s="126"/>
      <c r="K173" s="126"/>
      <c r="L173" s="127"/>
      <c r="M173" s="127"/>
      <c r="N173" s="128"/>
      <c r="O173" s="107">
        <f>SUM(O166:O172)</f>
        <v>56931</v>
      </c>
    </row>
    <row r="174" spans="1:15" ht="31.8" thickBot="1" x14ac:dyDescent="0.3">
      <c r="A174" s="93"/>
      <c r="B174" s="143" t="s">
        <v>0</v>
      </c>
      <c r="C174" s="144" t="s">
        <v>1</v>
      </c>
      <c r="D174" s="143"/>
      <c r="E174" s="144" t="s">
        <v>198</v>
      </c>
      <c r="F174" s="145" t="s">
        <v>194</v>
      </c>
      <c r="G174" s="144" t="s">
        <v>196</v>
      </c>
      <c r="H174" s="145" t="s">
        <v>9</v>
      </c>
      <c r="I174" s="143" t="s">
        <v>2</v>
      </c>
      <c r="J174" s="77" t="s">
        <v>39</v>
      </c>
      <c r="K174" s="144" t="s">
        <v>13</v>
      </c>
      <c r="L174" s="144" t="s">
        <v>14</v>
      </c>
      <c r="M174" s="146" t="s">
        <v>15</v>
      </c>
      <c r="N174" s="147" t="s">
        <v>11</v>
      </c>
      <c r="O174" s="148" t="s">
        <v>12</v>
      </c>
    </row>
    <row r="175" spans="1:15" ht="15.6" thickBot="1" x14ac:dyDescent="0.3">
      <c r="A175" s="85">
        <v>1</v>
      </c>
      <c r="B175" s="405" t="s">
        <v>195</v>
      </c>
      <c r="C175" s="414">
        <v>304</v>
      </c>
      <c r="D175" s="87" t="s">
        <v>35</v>
      </c>
      <c r="E175" s="88">
        <v>557.9</v>
      </c>
      <c r="F175" s="171">
        <v>46163</v>
      </c>
      <c r="G175" s="88">
        <v>634.70000000000005</v>
      </c>
      <c r="H175" s="171">
        <v>46197</v>
      </c>
      <c r="I175" s="86">
        <f>G175-E175</f>
        <v>76.800000000000068</v>
      </c>
      <c r="J175" s="86"/>
      <c r="K175" s="86">
        <v>257</v>
      </c>
      <c r="L175" s="382">
        <v>611</v>
      </c>
      <c r="M175" s="90">
        <f t="shared" ref="M175:M181" si="44">I175*K175+J175</f>
        <v>19737.600000000017</v>
      </c>
      <c r="N175" s="91">
        <v>0</v>
      </c>
      <c r="O175" s="92">
        <f t="shared" ref="O175:O176" si="45">M175-N175</f>
        <v>19737.600000000017</v>
      </c>
    </row>
    <row r="176" spans="1:15" ht="15.6" thickBot="1" x14ac:dyDescent="0.3">
      <c r="A176" s="85"/>
      <c r="B176" s="406"/>
      <c r="C176" s="415"/>
      <c r="D176" s="94" t="s">
        <v>36</v>
      </c>
      <c r="E176" s="269">
        <v>21</v>
      </c>
      <c r="F176" s="171">
        <v>46163</v>
      </c>
      <c r="G176" s="269">
        <v>24</v>
      </c>
      <c r="H176" s="171">
        <v>46197</v>
      </c>
      <c r="I176" s="86">
        <f>G176-E176</f>
        <v>3</v>
      </c>
      <c r="J176" s="86">
        <v>1000</v>
      </c>
      <c r="K176" s="93">
        <v>1200</v>
      </c>
      <c r="L176" s="383"/>
      <c r="M176" s="267">
        <f t="shared" si="44"/>
        <v>4600</v>
      </c>
      <c r="N176" s="98"/>
      <c r="O176" s="92">
        <f t="shared" si="45"/>
        <v>4600</v>
      </c>
    </row>
    <row r="177" spans="1:15" ht="15.6" thickBot="1" x14ac:dyDescent="0.3">
      <c r="A177" s="85"/>
      <c r="B177" s="406"/>
      <c r="C177" s="415"/>
      <c r="D177" s="117" t="s">
        <v>37</v>
      </c>
      <c r="E177" s="118"/>
      <c r="F177" s="119"/>
      <c r="G177" s="118"/>
      <c r="H177" s="119"/>
      <c r="I177" s="120">
        <v>1</v>
      </c>
      <c r="J177" s="120"/>
      <c r="K177" s="120">
        <v>25000</v>
      </c>
      <c r="L177" s="383"/>
      <c r="M177" s="90">
        <f t="shared" si="44"/>
        <v>25000</v>
      </c>
      <c r="N177" s="99"/>
      <c r="O177" s="92">
        <f t="shared" ref="O177:O180" si="46">M177+L177-N177</f>
        <v>25000</v>
      </c>
    </row>
    <row r="178" spans="1:15" ht="15.6" thickBot="1" x14ac:dyDescent="0.3">
      <c r="A178" s="85"/>
      <c r="B178" s="406"/>
      <c r="C178" s="415"/>
      <c r="D178" s="94" t="s">
        <v>90</v>
      </c>
      <c r="E178" s="95"/>
      <c r="F178" s="96"/>
      <c r="G178" s="95"/>
      <c r="H178" s="96"/>
      <c r="I178" s="93"/>
      <c r="J178" s="93"/>
      <c r="K178" s="93">
        <v>0</v>
      </c>
      <c r="L178" s="383"/>
      <c r="M178" s="90">
        <f t="shared" si="44"/>
        <v>0</v>
      </c>
      <c r="N178" s="98"/>
      <c r="O178" s="92">
        <f t="shared" si="46"/>
        <v>0</v>
      </c>
    </row>
    <row r="179" spans="1:15" ht="15.6" thickBot="1" x14ac:dyDescent="0.3">
      <c r="A179" s="85"/>
      <c r="B179" s="406"/>
      <c r="C179" s="415"/>
      <c r="D179" s="94" t="s">
        <v>91</v>
      </c>
      <c r="E179" s="95"/>
      <c r="F179" s="96"/>
      <c r="G179" s="95"/>
      <c r="H179" s="96"/>
      <c r="I179" s="93">
        <v>1</v>
      </c>
      <c r="J179" s="93"/>
      <c r="K179" s="93">
        <v>2000</v>
      </c>
      <c r="L179" s="383"/>
      <c r="M179" s="90">
        <f>I179*K179+J179</f>
        <v>2000</v>
      </c>
      <c r="N179" s="98"/>
      <c r="O179" s="92">
        <f t="shared" si="46"/>
        <v>2000</v>
      </c>
    </row>
    <row r="180" spans="1:15" ht="30.6" thickBot="1" x14ac:dyDescent="0.3">
      <c r="A180" s="85"/>
      <c r="B180" s="406"/>
      <c r="C180" s="415"/>
      <c r="D180" s="94" t="s">
        <v>92</v>
      </c>
      <c r="E180" s="95"/>
      <c r="F180" s="96"/>
      <c r="G180" s="95"/>
      <c r="H180" s="96"/>
      <c r="I180" s="93">
        <v>0</v>
      </c>
      <c r="J180" s="93"/>
      <c r="K180" s="93">
        <v>0</v>
      </c>
      <c r="L180" s="383"/>
      <c r="M180" s="90">
        <f t="shared" si="44"/>
        <v>0</v>
      </c>
      <c r="N180" s="98"/>
      <c r="O180" s="92">
        <f t="shared" si="46"/>
        <v>0</v>
      </c>
    </row>
    <row r="181" spans="1:15" x14ac:dyDescent="0.25">
      <c r="A181" s="85"/>
      <c r="B181" s="406"/>
      <c r="C181" s="415"/>
      <c r="D181" s="94" t="s">
        <v>189</v>
      </c>
      <c r="E181" s="95"/>
      <c r="F181" s="96"/>
      <c r="G181" s="95"/>
      <c r="H181" s="96"/>
      <c r="I181" s="93"/>
      <c r="J181" s="93"/>
      <c r="K181" s="93"/>
      <c r="L181" s="384"/>
      <c r="M181" s="90">
        <f t="shared" si="44"/>
        <v>0</v>
      </c>
      <c r="N181" s="98"/>
      <c r="O181" s="92">
        <f>L175</f>
        <v>611</v>
      </c>
    </row>
    <row r="182" spans="1:15" ht="16.2" thickBot="1" x14ac:dyDescent="0.35">
      <c r="A182" s="93"/>
      <c r="B182" s="407"/>
      <c r="C182" s="416"/>
      <c r="D182" s="123" t="s">
        <v>38</v>
      </c>
      <c r="E182" s="124"/>
      <c r="F182" s="125"/>
      <c r="G182" s="124"/>
      <c r="H182" s="125"/>
      <c r="I182" s="126"/>
      <c r="J182" s="126"/>
      <c r="K182" s="126"/>
      <c r="L182" s="127"/>
      <c r="M182" s="127"/>
      <c r="N182" s="128"/>
      <c r="O182" s="107">
        <f>SUM(O175:O181)</f>
        <v>51948.60000000002</v>
      </c>
    </row>
    <row r="183" spans="1:15" ht="31.8" thickBot="1" x14ac:dyDescent="0.3">
      <c r="A183" s="93"/>
      <c r="B183" s="143" t="s">
        <v>0</v>
      </c>
      <c r="C183" s="144" t="s">
        <v>1</v>
      </c>
      <c r="D183" s="143"/>
      <c r="E183" s="144" t="s">
        <v>198</v>
      </c>
      <c r="F183" s="145" t="s">
        <v>194</v>
      </c>
      <c r="G183" s="144" t="s">
        <v>196</v>
      </c>
      <c r="H183" s="145" t="s">
        <v>9</v>
      </c>
      <c r="I183" s="143" t="s">
        <v>2</v>
      </c>
      <c r="J183" s="77" t="s">
        <v>39</v>
      </c>
      <c r="K183" s="144" t="s">
        <v>13</v>
      </c>
      <c r="L183" s="144" t="s">
        <v>109</v>
      </c>
      <c r="M183" s="146" t="s">
        <v>15</v>
      </c>
      <c r="N183" s="147" t="s">
        <v>11</v>
      </c>
      <c r="O183" s="148" t="s">
        <v>12</v>
      </c>
    </row>
    <row r="184" spans="1:15" ht="15.6" thickBot="1" x14ac:dyDescent="0.3">
      <c r="A184" s="85">
        <v>1</v>
      </c>
      <c r="B184" s="405" t="s">
        <v>110</v>
      </c>
      <c r="C184" s="392">
        <v>306</v>
      </c>
      <c r="D184" s="87" t="s">
        <v>35</v>
      </c>
      <c r="E184" s="88">
        <v>2291.6</v>
      </c>
      <c r="F184" s="171">
        <v>46163</v>
      </c>
      <c r="G184" s="88">
        <v>2405.8000000000002</v>
      </c>
      <c r="H184" s="171">
        <v>46197</v>
      </c>
      <c r="I184" s="86">
        <f>G184-E184</f>
        <v>114.20000000000027</v>
      </c>
      <c r="J184" s="86"/>
      <c r="K184" s="86">
        <v>257</v>
      </c>
      <c r="L184" s="382">
        <v>81.5</v>
      </c>
      <c r="M184" s="90">
        <f t="shared" ref="M184:M190" si="47">I184*K184+J184</f>
        <v>29349.400000000071</v>
      </c>
      <c r="N184" s="91">
        <v>0</v>
      </c>
      <c r="O184" s="92">
        <f t="shared" ref="O184:O185" si="48">M184-N184</f>
        <v>29349.400000000071</v>
      </c>
    </row>
    <row r="185" spans="1:15" ht="15.6" thickBot="1" x14ac:dyDescent="0.3">
      <c r="A185" s="85"/>
      <c r="B185" s="406"/>
      <c r="C185" s="393"/>
      <c r="D185" s="94" t="s">
        <v>36</v>
      </c>
      <c r="E185" s="95">
        <v>314</v>
      </c>
      <c r="F185" s="171">
        <v>46163</v>
      </c>
      <c r="G185" s="95">
        <v>325</v>
      </c>
      <c r="H185" s="171">
        <v>46197</v>
      </c>
      <c r="I185" s="86">
        <f>G185-E185</f>
        <v>11</v>
      </c>
      <c r="J185" s="86">
        <v>1000</v>
      </c>
      <c r="K185" s="93">
        <v>1200</v>
      </c>
      <c r="L185" s="383"/>
      <c r="M185" s="90">
        <f t="shared" si="47"/>
        <v>14200</v>
      </c>
      <c r="N185" s="98"/>
      <c r="O185" s="92">
        <f t="shared" si="48"/>
        <v>14200</v>
      </c>
    </row>
    <row r="186" spans="1:15" ht="15.6" thickBot="1" x14ac:dyDescent="0.3">
      <c r="A186" s="85"/>
      <c r="B186" s="406"/>
      <c r="C186" s="393"/>
      <c r="D186" s="117" t="s">
        <v>37</v>
      </c>
      <c r="E186" s="118"/>
      <c r="F186" s="119"/>
      <c r="G186" s="118"/>
      <c r="H186" s="119"/>
      <c r="I186" s="120">
        <v>1</v>
      </c>
      <c r="J186" s="120"/>
      <c r="K186" s="120">
        <v>25000</v>
      </c>
      <c r="L186" s="383"/>
      <c r="M186" s="90">
        <f t="shared" si="47"/>
        <v>25000</v>
      </c>
      <c r="N186" s="99"/>
      <c r="O186" s="92">
        <f t="shared" ref="O186:O189" si="49">M186+L186-N186</f>
        <v>25000</v>
      </c>
    </row>
    <row r="187" spans="1:15" ht="15.6" thickBot="1" x14ac:dyDescent="0.3">
      <c r="A187" s="85"/>
      <c r="B187" s="406"/>
      <c r="C187" s="393"/>
      <c r="D187" s="94" t="s">
        <v>90</v>
      </c>
      <c r="E187" s="95"/>
      <c r="F187" s="96"/>
      <c r="G187" s="95"/>
      <c r="H187" s="96"/>
      <c r="I187" s="93"/>
      <c r="J187" s="93"/>
      <c r="K187" s="93">
        <v>0</v>
      </c>
      <c r="L187" s="383"/>
      <c r="M187" s="90">
        <f t="shared" si="47"/>
        <v>0</v>
      </c>
      <c r="N187" s="98"/>
      <c r="O187" s="92">
        <f t="shared" si="49"/>
        <v>0</v>
      </c>
    </row>
    <row r="188" spans="1:15" ht="15.6" thickBot="1" x14ac:dyDescent="0.3">
      <c r="A188" s="85"/>
      <c r="B188" s="406"/>
      <c r="C188" s="393"/>
      <c r="D188" s="94" t="s">
        <v>91</v>
      </c>
      <c r="E188" s="95"/>
      <c r="F188" s="96"/>
      <c r="G188" s="95"/>
      <c r="H188" s="96"/>
      <c r="I188" s="93">
        <v>1</v>
      </c>
      <c r="J188" s="93"/>
      <c r="K188" s="93">
        <v>2000</v>
      </c>
      <c r="L188" s="383"/>
      <c r="M188" s="90">
        <f t="shared" si="47"/>
        <v>2000</v>
      </c>
      <c r="N188" s="98"/>
      <c r="O188" s="92">
        <f t="shared" si="49"/>
        <v>2000</v>
      </c>
    </row>
    <row r="189" spans="1:15" ht="30.6" thickBot="1" x14ac:dyDescent="0.3">
      <c r="A189" s="85"/>
      <c r="B189" s="406"/>
      <c r="C189" s="393"/>
      <c r="D189" s="94" t="s">
        <v>92</v>
      </c>
      <c r="E189" s="95"/>
      <c r="F189" s="96"/>
      <c r="G189" s="95"/>
      <c r="H189" s="96"/>
      <c r="I189" s="93">
        <v>0</v>
      </c>
      <c r="J189" s="93"/>
      <c r="K189" s="93">
        <v>0</v>
      </c>
      <c r="L189" s="383"/>
      <c r="M189" s="90">
        <f t="shared" si="47"/>
        <v>0</v>
      </c>
      <c r="N189" s="98"/>
      <c r="O189" s="92">
        <f t="shared" si="49"/>
        <v>0</v>
      </c>
    </row>
    <row r="190" spans="1:15" x14ac:dyDescent="0.25">
      <c r="A190" s="85"/>
      <c r="B190" s="406"/>
      <c r="C190" s="393"/>
      <c r="D190" s="94" t="s">
        <v>189</v>
      </c>
      <c r="E190" s="95"/>
      <c r="F190" s="96"/>
      <c r="G190" s="95"/>
      <c r="H190" s="96"/>
      <c r="I190" s="93"/>
      <c r="J190" s="93"/>
      <c r="K190" s="93"/>
      <c r="L190" s="384"/>
      <c r="M190" s="90">
        <f t="shared" si="47"/>
        <v>0</v>
      </c>
      <c r="N190" s="98"/>
      <c r="O190" s="92">
        <f>L184</f>
        <v>81.5</v>
      </c>
    </row>
    <row r="191" spans="1:15" ht="16.2" thickBot="1" x14ac:dyDescent="0.35">
      <c r="A191" s="93"/>
      <c r="B191" s="407"/>
      <c r="C191" s="394"/>
      <c r="D191" s="123" t="s">
        <v>38</v>
      </c>
      <c r="E191" s="124"/>
      <c r="F191" s="125"/>
      <c r="G191" s="124"/>
      <c r="H191" s="125"/>
      <c r="I191" s="126"/>
      <c r="J191" s="126"/>
      <c r="K191" s="126"/>
      <c r="L191" s="127" t="s">
        <v>88</v>
      </c>
      <c r="M191" s="127"/>
      <c r="N191" s="128"/>
      <c r="O191" s="107">
        <f>SUM(O184:O190)</f>
        <v>70630.900000000067</v>
      </c>
    </row>
    <row r="192" spans="1:15" ht="15.6" x14ac:dyDescent="0.3">
      <c r="A192" s="93"/>
      <c r="B192" s="150"/>
      <c r="C192" s="137"/>
      <c r="D192" s="112"/>
      <c r="E192" s="138"/>
      <c r="F192" s="139"/>
      <c r="G192" s="138"/>
      <c r="H192" s="139"/>
      <c r="L192" s="140"/>
      <c r="M192" s="140"/>
      <c r="N192" s="141"/>
      <c r="O192" s="142"/>
    </row>
    <row r="193" spans="1:15" ht="15.6" x14ac:dyDescent="0.3">
      <c r="A193" s="93"/>
      <c r="B193" s="150"/>
      <c r="C193" s="137"/>
      <c r="D193" s="112"/>
      <c r="E193" s="138"/>
      <c r="F193" s="139"/>
      <c r="G193" s="138"/>
      <c r="H193" s="139"/>
      <c r="L193" s="140"/>
      <c r="M193" s="140"/>
      <c r="N193" s="141"/>
      <c r="O193" s="142"/>
    </row>
    <row r="194" spans="1:15" ht="15.6" x14ac:dyDescent="0.3">
      <c r="A194" s="93"/>
      <c r="B194" s="150"/>
      <c r="C194" s="137"/>
      <c r="D194" s="112"/>
      <c r="E194" s="138"/>
      <c r="F194" s="139"/>
      <c r="G194" s="138"/>
      <c r="H194" s="139"/>
      <c r="L194" s="140"/>
      <c r="M194" s="140"/>
      <c r="N194" s="141"/>
      <c r="O194" s="142"/>
    </row>
    <row r="195" spans="1:15" ht="16.2" thickBot="1" x14ac:dyDescent="0.35">
      <c r="A195" s="93"/>
      <c r="B195" s="150"/>
      <c r="C195" s="137"/>
      <c r="D195" s="112"/>
      <c r="E195" s="138"/>
      <c r="F195" s="139"/>
      <c r="G195" s="138"/>
      <c r="H195" s="139"/>
      <c r="L195" s="140"/>
      <c r="M195" s="140"/>
      <c r="N195" s="141"/>
      <c r="O195" s="142"/>
    </row>
    <row r="196" spans="1:15" ht="31.8" thickBot="1" x14ac:dyDescent="0.3">
      <c r="A196" s="93"/>
      <c r="B196" s="143" t="s">
        <v>0</v>
      </c>
      <c r="C196" s="144" t="s">
        <v>1</v>
      </c>
      <c r="D196" s="143"/>
      <c r="E196" s="144" t="s">
        <v>198</v>
      </c>
      <c r="F196" s="145" t="s">
        <v>194</v>
      </c>
      <c r="G196" s="144" t="s">
        <v>196</v>
      </c>
      <c r="H196" s="145" t="s">
        <v>9</v>
      </c>
      <c r="I196" s="143" t="s">
        <v>2</v>
      </c>
      <c r="J196" s="77" t="s">
        <v>39</v>
      </c>
      <c r="K196" s="144" t="s">
        <v>13</v>
      </c>
      <c r="L196" s="144" t="s">
        <v>14</v>
      </c>
      <c r="M196" s="146" t="s">
        <v>15</v>
      </c>
      <c r="N196" s="147" t="s">
        <v>11</v>
      </c>
      <c r="O196" s="148" t="s">
        <v>12</v>
      </c>
    </row>
    <row r="197" spans="1:15" ht="15.6" thickBot="1" x14ac:dyDescent="0.3">
      <c r="A197" s="85">
        <v>1</v>
      </c>
      <c r="B197" s="405" t="s">
        <v>111</v>
      </c>
      <c r="C197" s="392">
        <v>401</v>
      </c>
      <c r="D197" s="87" t="s">
        <v>35</v>
      </c>
      <c r="E197" s="88">
        <v>1528.7</v>
      </c>
      <c r="F197" s="171">
        <v>46163</v>
      </c>
      <c r="G197" s="88">
        <v>1675.6</v>
      </c>
      <c r="H197" s="171">
        <v>46197</v>
      </c>
      <c r="I197" s="86">
        <f>G197-E197</f>
        <v>146.89999999999986</v>
      </c>
      <c r="J197" s="86"/>
      <c r="K197" s="86">
        <v>257</v>
      </c>
      <c r="L197" s="382">
        <v>1.73</v>
      </c>
      <c r="M197" s="90">
        <f t="shared" ref="M197:M203" si="50">I197*K197+J197</f>
        <v>37753.299999999967</v>
      </c>
      <c r="N197" s="91">
        <v>0</v>
      </c>
      <c r="O197" s="92">
        <f t="shared" ref="O197:O198" si="51">M197-N197</f>
        <v>37753.299999999967</v>
      </c>
    </row>
    <row r="198" spans="1:15" ht="15.6" thickBot="1" x14ac:dyDescent="0.3">
      <c r="A198" s="85"/>
      <c r="B198" s="406"/>
      <c r="C198" s="393"/>
      <c r="D198" s="94" t="s">
        <v>36</v>
      </c>
      <c r="E198" s="95">
        <v>228</v>
      </c>
      <c r="F198" s="171">
        <v>46163</v>
      </c>
      <c r="G198" s="95">
        <v>254</v>
      </c>
      <c r="H198" s="171">
        <v>46197</v>
      </c>
      <c r="I198" s="86">
        <f>G198-E198</f>
        <v>26</v>
      </c>
      <c r="J198" s="86">
        <v>1000</v>
      </c>
      <c r="K198" s="93">
        <v>1200</v>
      </c>
      <c r="L198" s="383"/>
      <c r="M198" s="90">
        <f t="shared" si="50"/>
        <v>32200</v>
      </c>
      <c r="N198" s="98"/>
      <c r="O198" s="92">
        <f t="shared" si="51"/>
        <v>32200</v>
      </c>
    </row>
    <row r="199" spans="1:15" ht="15.6" thickBot="1" x14ac:dyDescent="0.3">
      <c r="A199" s="85"/>
      <c r="B199" s="406"/>
      <c r="C199" s="393"/>
      <c r="D199" s="117" t="s">
        <v>37</v>
      </c>
      <c r="E199" s="118"/>
      <c r="F199" s="119"/>
      <c r="G199" s="118"/>
      <c r="H199" s="119"/>
      <c r="I199" s="120">
        <v>1</v>
      </c>
      <c r="J199" s="120"/>
      <c r="K199" s="120">
        <v>25000</v>
      </c>
      <c r="L199" s="383"/>
      <c r="M199" s="90">
        <v>25000</v>
      </c>
      <c r="N199" s="99"/>
      <c r="O199" s="92">
        <f t="shared" ref="O199:O202" si="52">M199+L199-N199</f>
        <v>25000</v>
      </c>
    </row>
    <row r="200" spans="1:15" ht="15.6" thickBot="1" x14ac:dyDescent="0.3">
      <c r="A200" s="85"/>
      <c r="B200" s="406"/>
      <c r="C200" s="393"/>
      <c r="D200" s="94" t="s">
        <v>90</v>
      </c>
      <c r="E200" s="95"/>
      <c r="F200" s="96"/>
      <c r="G200" s="95"/>
      <c r="H200" s="96"/>
      <c r="I200" s="93"/>
      <c r="J200" s="93"/>
      <c r="K200" s="93">
        <v>0</v>
      </c>
      <c r="L200" s="383"/>
      <c r="M200" s="90">
        <f t="shared" si="50"/>
        <v>0</v>
      </c>
      <c r="N200" s="98"/>
      <c r="O200" s="92">
        <f t="shared" si="52"/>
        <v>0</v>
      </c>
    </row>
    <row r="201" spans="1:15" ht="15.6" thickBot="1" x14ac:dyDescent="0.3">
      <c r="A201" s="85"/>
      <c r="B201" s="406"/>
      <c r="C201" s="393"/>
      <c r="D201" s="94" t="s">
        <v>91</v>
      </c>
      <c r="E201" s="95"/>
      <c r="F201" s="96"/>
      <c r="G201" s="95"/>
      <c r="H201" s="96"/>
      <c r="I201" s="93">
        <v>1</v>
      </c>
      <c r="J201" s="93"/>
      <c r="K201" s="93">
        <v>2000</v>
      </c>
      <c r="L201" s="383"/>
      <c r="M201" s="90">
        <f t="shared" si="50"/>
        <v>2000</v>
      </c>
      <c r="N201" s="98"/>
      <c r="O201" s="92">
        <f t="shared" si="52"/>
        <v>2000</v>
      </c>
    </row>
    <row r="202" spans="1:15" ht="30.6" thickBot="1" x14ac:dyDescent="0.3">
      <c r="A202" s="85"/>
      <c r="B202" s="406"/>
      <c r="C202" s="393"/>
      <c r="D202" s="94" t="s">
        <v>92</v>
      </c>
      <c r="E202" s="95"/>
      <c r="F202" s="96"/>
      <c r="G202" s="95"/>
      <c r="H202" s="96"/>
      <c r="I202" s="93">
        <v>0</v>
      </c>
      <c r="J202" s="93"/>
      <c r="K202" s="93">
        <v>0</v>
      </c>
      <c r="L202" s="383"/>
      <c r="M202" s="90">
        <f t="shared" si="50"/>
        <v>0</v>
      </c>
      <c r="N202" s="98"/>
      <c r="O202" s="92">
        <f t="shared" si="52"/>
        <v>0</v>
      </c>
    </row>
    <row r="203" spans="1:15" x14ac:dyDescent="0.25">
      <c r="A203" s="85"/>
      <c r="B203" s="406"/>
      <c r="C203" s="393"/>
      <c r="D203" s="94" t="s">
        <v>189</v>
      </c>
      <c r="E203" s="95"/>
      <c r="F203" s="96"/>
      <c r="G203" s="95"/>
      <c r="H203" s="96"/>
      <c r="I203" s="93"/>
      <c r="J203" s="93"/>
      <c r="K203" s="93"/>
      <c r="L203" s="384"/>
      <c r="M203" s="90">
        <f t="shared" si="50"/>
        <v>0</v>
      </c>
      <c r="N203" s="98"/>
      <c r="O203" s="92">
        <f>L197</f>
        <v>1.73</v>
      </c>
    </row>
    <row r="204" spans="1:15" ht="16.2" thickBot="1" x14ac:dyDescent="0.35">
      <c r="A204" s="93"/>
      <c r="B204" s="407"/>
      <c r="C204" s="394"/>
      <c r="D204" s="123" t="s">
        <v>38</v>
      </c>
      <c r="E204" s="124"/>
      <c r="F204" s="125"/>
      <c r="G204" s="124"/>
      <c r="H204" s="125"/>
      <c r="I204" s="126"/>
      <c r="J204" s="126"/>
      <c r="K204" s="126"/>
      <c r="L204" s="127"/>
      <c r="M204" s="127"/>
      <c r="N204" s="128"/>
      <c r="O204" s="107">
        <f>SUM(O197:O203)</f>
        <v>96955.029999999955</v>
      </c>
    </row>
    <row r="205" spans="1:15" ht="15.6" x14ac:dyDescent="0.3">
      <c r="A205" s="93"/>
      <c r="B205" s="150"/>
      <c r="C205" s="137"/>
      <c r="D205" s="112"/>
      <c r="E205" s="138"/>
      <c r="F205" s="139"/>
      <c r="G205" s="138"/>
      <c r="H205" s="139"/>
      <c r="L205" s="140"/>
      <c r="M205" s="140"/>
      <c r="N205" s="141"/>
      <c r="O205" s="142"/>
    </row>
    <row r="206" spans="1:15" ht="16.2" thickBot="1" x14ac:dyDescent="0.35">
      <c r="A206" s="93"/>
      <c r="B206" s="150"/>
      <c r="C206" s="137"/>
      <c r="D206" s="112"/>
      <c r="E206" s="138">
        <v>0</v>
      </c>
      <c r="F206" s="139"/>
      <c r="G206" s="138">
        <v>0</v>
      </c>
      <c r="H206" s="139"/>
      <c r="L206" s="140"/>
      <c r="M206" s="140"/>
      <c r="N206" s="141"/>
      <c r="O206" s="142"/>
    </row>
    <row r="207" spans="1:15" ht="31.8" thickBot="1" x14ac:dyDescent="0.3">
      <c r="A207" s="93"/>
      <c r="B207" s="143" t="s">
        <v>0</v>
      </c>
      <c r="C207" s="144" t="s">
        <v>1</v>
      </c>
      <c r="D207" s="143"/>
      <c r="E207" s="144" t="s">
        <v>198</v>
      </c>
      <c r="F207" s="145" t="s">
        <v>194</v>
      </c>
      <c r="G207" s="144" t="s">
        <v>196</v>
      </c>
      <c r="H207" s="145" t="s">
        <v>9</v>
      </c>
      <c r="I207" s="143" t="s">
        <v>2</v>
      </c>
      <c r="J207" s="77" t="s">
        <v>39</v>
      </c>
      <c r="K207" s="144" t="s">
        <v>13</v>
      </c>
      <c r="L207" s="144" t="s">
        <v>14</v>
      </c>
      <c r="M207" s="146" t="s">
        <v>15</v>
      </c>
      <c r="N207" s="147" t="s">
        <v>11</v>
      </c>
      <c r="O207" s="148" t="s">
        <v>12</v>
      </c>
    </row>
    <row r="208" spans="1:15" ht="15.6" thickBot="1" x14ac:dyDescent="0.3">
      <c r="A208" s="85">
        <v>1</v>
      </c>
      <c r="B208" s="405" t="s">
        <v>112</v>
      </c>
      <c r="C208" s="392">
        <v>403</v>
      </c>
      <c r="D208" s="87" t="s">
        <v>35</v>
      </c>
      <c r="E208" s="311">
        <v>238.3</v>
      </c>
      <c r="F208" s="89">
        <v>46163</v>
      </c>
      <c r="G208" s="311">
        <v>238.3</v>
      </c>
      <c r="H208" s="89">
        <v>46197</v>
      </c>
      <c r="I208" s="86">
        <f>G208-E208</f>
        <v>0</v>
      </c>
      <c r="J208" s="86"/>
      <c r="K208" s="86">
        <v>257</v>
      </c>
      <c r="L208" s="382">
        <v>80855.899999999994</v>
      </c>
      <c r="M208" s="90">
        <f t="shared" ref="M208:M214" si="53">I208*K208+J208</f>
        <v>0</v>
      </c>
      <c r="N208" s="91">
        <v>0</v>
      </c>
      <c r="O208" s="92">
        <f t="shared" ref="O208:O209" si="54">M208-N208</f>
        <v>0</v>
      </c>
    </row>
    <row r="209" spans="1:15" ht="15.6" thickBot="1" x14ac:dyDescent="0.3">
      <c r="A209" s="85"/>
      <c r="B209" s="406"/>
      <c r="C209" s="393"/>
      <c r="D209" s="94" t="s">
        <v>36</v>
      </c>
      <c r="E209" s="95">
        <v>113</v>
      </c>
      <c r="F209" s="171">
        <v>46163</v>
      </c>
      <c r="G209" s="95">
        <v>113</v>
      </c>
      <c r="H209" s="171">
        <v>46197</v>
      </c>
      <c r="I209" s="86">
        <f>G209-E209</f>
        <v>0</v>
      </c>
      <c r="J209" s="86">
        <v>0</v>
      </c>
      <c r="K209" s="93">
        <v>1200</v>
      </c>
      <c r="L209" s="383"/>
      <c r="M209" s="90">
        <f t="shared" si="53"/>
        <v>0</v>
      </c>
      <c r="N209" s="98"/>
      <c r="O209" s="92">
        <f t="shared" si="54"/>
        <v>0</v>
      </c>
    </row>
    <row r="210" spans="1:15" ht="15.6" thickBot="1" x14ac:dyDescent="0.3">
      <c r="A210" s="85"/>
      <c r="B210" s="406"/>
      <c r="C210" s="393"/>
      <c r="D210" s="117" t="s">
        <v>37</v>
      </c>
      <c r="E210" s="118"/>
      <c r="F210" s="119"/>
      <c r="G210" s="118"/>
      <c r="H210" s="119"/>
      <c r="I210" s="120">
        <v>1</v>
      </c>
      <c r="J210" s="120"/>
      <c r="K210" s="120">
        <v>15000</v>
      </c>
      <c r="L210" s="383"/>
      <c r="M210" s="90">
        <f t="shared" si="53"/>
        <v>15000</v>
      </c>
      <c r="N210" s="99"/>
      <c r="O210" s="92">
        <f t="shared" ref="O210:O213" si="55">M210+L210-N210</f>
        <v>15000</v>
      </c>
    </row>
    <row r="211" spans="1:15" ht="15.6" thickBot="1" x14ac:dyDescent="0.3">
      <c r="A211" s="85"/>
      <c r="B211" s="406"/>
      <c r="C211" s="393"/>
      <c r="D211" s="94" t="s">
        <v>90</v>
      </c>
      <c r="E211" s="95"/>
      <c r="F211" s="96"/>
      <c r="G211" s="95"/>
      <c r="H211" s="96"/>
      <c r="I211" s="93"/>
      <c r="J211" s="93"/>
      <c r="K211" s="93">
        <v>0</v>
      </c>
      <c r="L211" s="383"/>
      <c r="M211" s="90">
        <f t="shared" si="53"/>
        <v>0</v>
      </c>
      <c r="N211" s="98"/>
      <c r="O211" s="92">
        <f t="shared" si="55"/>
        <v>0</v>
      </c>
    </row>
    <row r="212" spans="1:15" ht="15.6" thickBot="1" x14ac:dyDescent="0.3">
      <c r="A212" s="85"/>
      <c r="B212" s="406"/>
      <c r="C212" s="393"/>
      <c r="D212" s="94" t="s">
        <v>91</v>
      </c>
      <c r="E212" s="95"/>
      <c r="F212" s="96"/>
      <c r="G212" s="95"/>
      <c r="H212" s="96"/>
      <c r="I212" s="93">
        <v>1</v>
      </c>
      <c r="J212" s="93"/>
      <c r="K212" s="93">
        <v>2000</v>
      </c>
      <c r="L212" s="383"/>
      <c r="M212" s="90">
        <f t="shared" si="53"/>
        <v>2000</v>
      </c>
      <c r="N212" s="98"/>
      <c r="O212" s="92">
        <f t="shared" si="55"/>
        <v>2000</v>
      </c>
    </row>
    <row r="213" spans="1:15" ht="30.6" thickBot="1" x14ac:dyDescent="0.3">
      <c r="A213" s="85"/>
      <c r="B213" s="406"/>
      <c r="C213" s="393"/>
      <c r="D213" s="94" t="s">
        <v>92</v>
      </c>
      <c r="E213" s="95"/>
      <c r="F213" s="96"/>
      <c r="G213" s="95"/>
      <c r="H213" s="96"/>
      <c r="I213" s="93">
        <v>0</v>
      </c>
      <c r="J213" s="93"/>
      <c r="K213" s="93"/>
      <c r="L213" s="383"/>
      <c r="M213" s="90">
        <f t="shared" si="53"/>
        <v>0</v>
      </c>
      <c r="N213" s="98"/>
      <c r="O213" s="92">
        <f t="shared" si="55"/>
        <v>0</v>
      </c>
    </row>
    <row r="214" spans="1:15" x14ac:dyDescent="0.25">
      <c r="A214" s="85"/>
      <c r="B214" s="406"/>
      <c r="C214" s="393"/>
      <c r="D214" s="94" t="s">
        <v>189</v>
      </c>
      <c r="E214" s="95"/>
      <c r="F214" s="96"/>
      <c r="G214" s="95"/>
      <c r="H214" s="96"/>
      <c r="I214" s="93"/>
      <c r="J214" s="93"/>
      <c r="K214" s="93"/>
      <c r="L214" s="384"/>
      <c r="M214" s="90">
        <f t="shared" si="53"/>
        <v>0</v>
      </c>
      <c r="N214" s="98"/>
      <c r="O214" s="92">
        <f>L208</f>
        <v>80855.899999999994</v>
      </c>
    </row>
    <row r="215" spans="1:15" ht="16.2" thickBot="1" x14ac:dyDescent="0.35">
      <c r="A215" s="93"/>
      <c r="B215" s="407"/>
      <c r="C215" s="394"/>
      <c r="D215" s="123" t="s">
        <v>38</v>
      </c>
      <c r="E215" s="124"/>
      <c r="F215" s="125"/>
      <c r="G215" s="124"/>
      <c r="H215" s="125"/>
      <c r="I215" s="126"/>
      <c r="J215" s="126"/>
      <c r="K215" s="126"/>
      <c r="L215" s="127"/>
      <c r="M215" s="127"/>
      <c r="N215" s="128"/>
      <c r="O215" s="107">
        <f>SUM(O208:O214)</f>
        <v>97855.9</v>
      </c>
    </row>
    <row r="216" spans="1:15" ht="31.8" thickBot="1" x14ac:dyDescent="0.3">
      <c r="A216" s="93"/>
      <c r="B216" s="143" t="s">
        <v>0</v>
      </c>
      <c r="C216" s="144" t="s">
        <v>1</v>
      </c>
      <c r="D216" s="143"/>
      <c r="E216" s="144" t="s">
        <v>198</v>
      </c>
      <c r="F216" s="145" t="s">
        <v>194</v>
      </c>
      <c r="G216" s="144" t="s">
        <v>196</v>
      </c>
      <c r="H216" s="145" t="s">
        <v>9</v>
      </c>
      <c r="I216" s="143" t="s">
        <v>2</v>
      </c>
      <c r="J216" s="77" t="s">
        <v>39</v>
      </c>
      <c r="K216" s="144" t="s">
        <v>13</v>
      </c>
      <c r="L216" s="144" t="s">
        <v>14</v>
      </c>
      <c r="M216" s="146" t="s">
        <v>15</v>
      </c>
      <c r="N216" s="147" t="s">
        <v>11</v>
      </c>
      <c r="O216" s="148" t="s">
        <v>12</v>
      </c>
    </row>
    <row r="217" spans="1:15" ht="15.6" thickBot="1" x14ac:dyDescent="0.3">
      <c r="A217" s="85">
        <v>1</v>
      </c>
      <c r="B217" s="405" t="s">
        <v>113</v>
      </c>
      <c r="C217" s="392">
        <v>404</v>
      </c>
      <c r="D217" s="87" t="s">
        <v>35</v>
      </c>
      <c r="E217" s="88">
        <v>302.10000000000002</v>
      </c>
      <c r="F217" s="171">
        <v>46163</v>
      </c>
      <c r="G217" s="88">
        <v>346.8</v>
      </c>
      <c r="H217" s="171">
        <v>46197</v>
      </c>
      <c r="I217" s="86">
        <f>G217-E217</f>
        <v>44.699999999999989</v>
      </c>
      <c r="J217" s="86"/>
      <c r="K217" s="86">
        <v>257</v>
      </c>
      <c r="L217" s="382">
        <v>157810.70000000001</v>
      </c>
      <c r="M217" s="90">
        <f t="shared" ref="M217:M223" si="56">I217*K217+J217</f>
        <v>11487.899999999998</v>
      </c>
      <c r="N217" s="91">
        <v>0</v>
      </c>
      <c r="O217" s="92">
        <f t="shared" ref="O217:O218" si="57">M217-N217</f>
        <v>11487.899999999998</v>
      </c>
    </row>
    <row r="218" spans="1:15" ht="15.6" thickBot="1" x14ac:dyDescent="0.3">
      <c r="A218" s="85"/>
      <c r="B218" s="406"/>
      <c r="C218" s="393"/>
      <c r="D218" s="94" t="s">
        <v>36</v>
      </c>
      <c r="E218" s="95">
        <v>188</v>
      </c>
      <c r="F218" s="171">
        <v>46163</v>
      </c>
      <c r="G218" s="95">
        <v>215</v>
      </c>
      <c r="H218" s="171">
        <v>46197</v>
      </c>
      <c r="I218" s="86">
        <f>G218-E218</f>
        <v>27</v>
      </c>
      <c r="J218" s="86">
        <v>1000</v>
      </c>
      <c r="K218" s="93">
        <v>1200</v>
      </c>
      <c r="L218" s="383"/>
      <c r="M218" s="90">
        <f t="shared" si="56"/>
        <v>33400</v>
      </c>
      <c r="N218" s="98"/>
      <c r="O218" s="92">
        <f t="shared" si="57"/>
        <v>33400</v>
      </c>
    </row>
    <row r="219" spans="1:15" ht="15.6" thickBot="1" x14ac:dyDescent="0.3">
      <c r="A219" s="85"/>
      <c r="B219" s="406"/>
      <c r="C219" s="393"/>
      <c r="D219" s="117" t="s">
        <v>37</v>
      </c>
      <c r="E219" s="118"/>
      <c r="F219" s="119"/>
      <c r="G219" s="118"/>
      <c r="H219" s="119"/>
      <c r="I219" s="120">
        <v>1</v>
      </c>
      <c r="J219" s="120"/>
      <c r="K219" s="120">
        <v>25000</v>
      </c>
      <c r="L219" s="383"/>
      <c r="M219" s="90">
        <f t="shared" si="56"/>
        <v>25000</v>
      </c>
      <c r="N219" s="99"/>
      <c r="O219" s="92">
        <f t="shared" ref="O219:O222" si="58">M219+L219-N219</f>
        <v>25000</v>
      </c>
    </row>
    <row r="220" spans="1:15" ht="15.6" thickBot="1" x14ac:dyDescent="0.3">
      <c r="A220" s="85"/>
      <c r="B220" s="406"/>
      <c r="C220" s="393"/>
      <c r="D220" s="94" t="s">
        <v>90</v>
      </c>
      <c r="E220" s="156"/>
      <c r="F220" s="274"/>
      <c r="G220" s="156"/>
      <c r="H220" s="274"/>
      <c r="I220" s="275"/>
      <c r="J220" s="275"/>
      <c r="K220" s="275"/>
      <c r="L220" s="383"/>
      <c r="M220" s="267">
        <f t="shared" si="56"/>
        <v>0</v>
      </c>
      <c r="N220" s="272"/>
      <c r="O220" s="273">
        <f t="shared" si="58"/>
        <v>0</v>
      </c>
    </row>
    <row r="221" spans="1:15" ht="15.6" thickBot="1" x14ac:dyDescent="0.3">
      <c r="A221" s="85"/>
      <c r="B221" s="406"/>
      <c r="C221" s="393"/>
      <c r="D221" s="94" t="s">
        <v>91</v>
      </c>
      <c r="E221" s="95"/>
      <c r="F221" s="96"/>
      <c r="G221" s="95"/>
      <c r="H221" s="96"/>
      <c r="I221" s="93">
        <v>1</v>
      </c>
      <c r="J221" s="93">
        <v>0</v>
      </c>
      <c r="K221" s="93">
        <v>2000</v>
      </c>
      <c r="L221" s="383"/>
      <c r="M221" s="90">
        <f t="shared" si="56"/>
        <v>2000</v>
      </c>
      <c r="N221" s="98"/>
      <c r="O221" s="92">
        <f t="shared" si="58"/>
        <v>2000</v>
      </c>
    </row>
    <row r="222" spans="1:15" ht="30.6" thickBot="1" x14ac:dyDescent="0.3">
      <c r="A222" s="85"/>
      <c r="B222" s="406"/>
      <c r="C222" s="393"/>
      <c r="D222" s="94" t="s">
        <v>92</v>
      </c>
      <c r="E222" s="95"/>
      <c r="F222" s="96"/>
      <c r="G222" s="95"/>
      <c r="H222" s="96"/>
      <c r="I222" s="93">
        <v>0</v>
      </c>
      <c r="J222" s="93"/>
      <c r="K222" s="93">
        <v>0</v>
      </c>
      <c r="L222" s="383"/>
      <c r="M222" s="90">
        <f t="shared" si="56"/>
        <v>0</v>
      </c>
      <c r="N222" s="98"/>
      <c r="O222" s="92">
        <f t="shared" si="58"/>
        <v>0</v>
      </c>
    </row>
    <row r="223" spans="1:15" x14ac:dyDescent="0.25">
      <c r="A223" s="85"/>
      <c r="B223" s="406"/>
      <c r="C223" s="393"/>
      <c r="D223" s="94" t="s">
        <v>189</v>
      </c>
      <c r="E223" s="95"/>
      <c r="F223" s="96"/>
      <c r="G223" s="95"/>
      <c r="H223" s="96"/>
      <c r="I223" s="93"/>
      <c r="J223" s="93"/>
      <c r="K223" s="93"/>
      <c r="L223" s="384"/>
      <c r="M223" s="90">
        <f t="shared" si="56"/>
        <v>0</v>
      </c>
      <c r="N223" s="98"/>
      <c r="O223" s="92">
        <f>L217</f>
        <v>157810.70000000001</v>
      </c>
    </row>
    <row r="224" spans="1:15" ht="21" customHeight="1" thickBot="1" x14ac:dyDescent="0.35">
      <c r="A224" s="93"/>
      <c r="B224" s="407"/>
      <c r="C224" s="394"/>
      <c r="D224" s="123" t="s">
        <v>38</v>
      </c>
      <c r="E224" s="124"/>
      <c r="F224" s="125"/>
      <c r="G224" s="124"/>
      <c r="H224" s="125"/>
      <c r="I224" s="126"/>
      <c r="J224" s="126"/>
      <c r="K224" s="126"/>
      <c r="L224" s="127"/>
      <c r="M224" s="127"/>
      <c r="N224" s="128"/>
      <c r="O224" s="107">
        <f>SUM(O217:O223)</f>
        <v>229698.6</v>
      </c>
    </row>
    <row r="225" spans="1:15" ht="21" customHeight="1" x14ac:dyDescent="0.3">
      <c r="A225" s="93"/>
      <c r="B225" s="150"/>
      <c r="C225" s="137"/>
      <c r="D225" s="112"/>
      <c r="E225" s="138"/>
      <c r="F225" s="139"/>
      <c r="G225" s="138"/>
      <c r="H225" s="139"/>
      <c r="L225" s="140"/>
      <c r="M225" s="140"/>
      <c r="N225" s="141"/>
      <c r="O225" s="142"/>
    </row>
    <row r="226" spans="1:15" ht="24" customHeight="1" thickBot="1" x14ac:dyDescent="0.3">
      <c r="A226" s="93"/>
      <c r="B226" s="93"/>
      <c r="C226" s="93"/>
      <c r="D226" s="93"/>
      <c r="E226" s="94"/>
      <c r="F226" s="93"/>
      <c r="G226" s="94"/>
      <c r="H226" s="93"/>
      <c r="I226" s="93"/>
      <c r="J226" s="93"/>
      <c r="K226" s="93"/>
      <c r="L226" s="93"/>
      <c r="M226" s="97"/>
      <c r="N226" s="98"/>
      <c r="O226" s="152"/>
    </row>
    <row r="227" spans="1:15" ht="31.8" thickBot="1" x14ac:dyDescent="0.3">
      <c r="A227" s="93"/>
      <c r="B227" s="143" t="s">
        <v>0</v>
      </c>
      <c r="C227" s="144" t="s">
        <v>1</v>
      </c>
      <c r="D227" s="143"/>
      <c r="E227" s="144" t="s">
        <v>198</v>
      </c>
      <c r="F227" s="145" t="s">
        <v>194</v>
      </c>
      <c r="G227" s="144" t="s">
        <v>196</v>
      </c>
      <c r="H227" s="145" t="s">
        <v>9</v>
      </c>
      <c r="I227" s="143" t="s">
        <v>2</v>
      </c>
      <c r="J227" s="77" t="s">
        <v>39</v>
      </c>
      <c r="K227" s="144" t="s">
        <v>13</v>
      </c>
      <c r="L227" s="144" t="s">
        <v>14</v>
      </c>
      <c r="M227" s="146" t="s">
        <v>15</v>
      </c>
      <c r="N227" s="147" t="s">
        <v>11</v>
      </c>
      <c r="O227" s="148" t="s">
        <v>12</v>
      </c>
    </row>
    <row r="228" spans="1:15" ht="15.6" thickBot="1" x14ac:dyDescent="0.3">
      <c r="A228" s="85">
        <v>1</v>
      </c>
      <c r="B228" s="405" t="s">
        <v>114</v>
      </c>
      <c r="C228" s="402" t="s">
        <v>115</v>
      </c>
      <c r="D228" s="87" t="s">
        <v>35</v>
      </c>
      <c r="E228" s="88">
        <v>2291.1999999999998</v>
      </c>
      <c r="F228" s="171">
        <v>46163</v>
      </c>
      <c r="G228" s="88">
        <v>2511.3000000000002</v>
      </c>
      <c r="H228" s="171">
        <v>46197</v>
      </c>
      <c r="I228" s="343">
        <f>G228-E228</f>
        <v>220.10000000000036</v>
      </c>
      <c r="J228" s="86"/>
      <c r="K228" s="86">
        <v>257</v>
      </c>
      <c r="L228" s="395">
        <v>-24.8</v>
      </c>
      <c r="M228" s="90">
        <f t="shared" ref="M228:M234" si="59">I228*K228+J228</f>
        <v>56565.700000000092</v>
      </c>
      <c r="N228" s="91">
        <v>0</v>
      </c>
      <c r="O228" s="92">
        <f t="shared" ref="O228:O229" si="60">M228-N228</f>
        <v>56565.700000000092</v>
      </c>
    </row>
    <row r="229" spans="1:15" ht="15.6" thickBot="1" x14ac:dyDescent="0.3">
      <c r="A229" s="85"/>
      <c r="B229" s="406"/>
      <c r="C229" s="403"/>
      <c r="D229" s="94" t="s">
        <v>36</v>
      </c>
      <c r="E229" s="95">
        <v>643</v>
      </c>
      <c r="F229" s="171">
        <v>46163</v>
      </c>
      <c r="G229" s="95">
        <v>667</v>
      </c>
      <c r="H229" s="171">
        <v>46197</v>
      </c>
      <c r="I229" s="86">
        <f>G229-E229</f>
        <v>24</v>
      </c>
      <c r="J229" s="86">
        <v>1000</v>
      </c>
      <c r="K229" s="93">
        <v>1200</v>
      </c>
      <c r="L229" s="396"/>
      <c r="M229" s="90">
        <f t="shared" si="59"/>
        <v>29800</v>
      </c>
      <c r="N229" s="98"/>
      <c r="O229" s="92">
        <f t="shared" si="60"/>
        <v>29800</v>
      </c>
    </row>
    <row r="230" spans="1:15" ht="15.6" thickBot="1" x14ac:dyDescent="0.3">
      <c r="A230" s="85"/>
      <c r="B230" s="406"/>
      <c r="C230" s="403"/>
      <c r="D230" s="117" t="s">
        <v>37</v>
      </c>
      <c r="E230" s="118"/>
      <c r="F230" s="119"/>
      <c r="G230" s="118"/>
      <c r="H230" s="119"/>
      <c r="I230" s="120">
        <v>1</v>
      </c>
      <c r="J230" s="120"/>
      <c r="K230" s="120">
        <v>25000</v>
      </c>
      <c r="L230" s="396"/>
      <c r="M230" s="90">
        <f t="shared" si="59"/>
        <v>25000</v>
      </c>
      <c r="N230" s="99"/>
      <c r="O230" s="92">
        <f t="shared" ref="O230:O233" si="61">M230+L230-N230</f>
        <v>25000</v>
      </c>
    </row>
    <row r="231" spans="1:15" ht="15.6" thickBot="1" x14ac:dyDescent="0.3">
      <c r="A231" s="85"/>
      <c r="B231" s="406"/>
      <c r="C231" s="403"/>
      <c r="D231" s="94" t="s">
        <v>90</v>
      </c>
      <c r="E231" s="95"/>
      <c r="F231" s="96"/>
      <c r="G231" s="95"/>
      <c r="H231" s="96"/>
      <c r="I231" s="93"/>
      <c r="J231" s="93"/>
      <c r="K231" s="93">
        <v>0</v>
      </c>
      <c r="L231" s="396"/>
      <c r="M231" s="90">
        <f t="shared" si="59"/>
        <v>0</v>
      </c>
      <c r="N231" s="98"/>
      <c r="O231" s="92">
        <f t="shared" si="61"/>
        <v>0</v>
      </c>
    </row>
    <row r="232" spans="1:15" ht="15.6" thickBot="1" x14ac:dyDescent="0.3">
      <c r="A232" s="85"/>
      <c r="B232" s="406"/>
      <c r="C232" s="403"/>
      <c r="D232" s="94" t="s">
        <v>91</v>
      </c>
      <c r="E232" s="95"/>
      <c r="F232" s="96"/>
      <c r="G232" s="95"/>
      <c r="H232" s="96"/>
      <c r="I232" s="93">
        <v>1</v>
      </c>
      <c r="J232" s="93"/>
      <c r="K232" s="93">
        <v>2000</v>
      </c>
      <c r="L232" s="396"/>
      <c r="M232" s="90">
        <f t="shared" si="59"/>
        <v>2000</v>
      </c>
      <c r="N232" s="98"/>
      <c r="O232" s="92">
        <f t="shared" si="61"/>
        <v>2000</v>
      </c>
    </row>
    <row r="233" spans="1:15" ht="14.25" customHeight="1" thickBot="1" x14ac:dyDescent="0.3">
      <c r="A233" s="85"/>
      <c r="B233" s="406"/>
      <c r="C233" s="403"/>
      <c r="D233" s="94" t="s">
        <v>92</v>
      </c>
      <c r="E233" s="95"/>
      <c r="F233" s="96"/>
      <c r="G233" s="95"/>
      <c r="H233" s="96"/>
      <c r="I233" s="93"/>
      <c r="J233" s="93"/>
      <c r="K233" s="93"/>
      <c r="L233" s="396"/>
      <c r="M233" s="90">
        <f t="shared" si="59"/>
        <v>0</v>
      </c>
      <c r="N233" s="98"/>
      <c r="O233" s="92">
        <f t="shared" si="61"/>
        <v>0</v>
      </c>
    </row>
    <row r="234" spans="1:15" x14ac:dyDescent="0.25">
      <c r="A234" s="85"/>
      <c r="B234" s="406"/>
      <c r="C234" s="403"/>
      <c r="D234" s="94" t="s">
        <v>189</v>
      </c>
      <c r="E234" s="95"/>
      <c r="F234" s="96"/>
      <c r="G234" s="95"/>
      <c r="H234" s="96"/>
      <c r="I234" s="93"/>
      <c r="J234" s="93"/>
      <c r="K234" s="93"/>
      <c r="L234" s="396"/>
      <c r="M234" s="90">
        <f t="shared" si="59"/>
        <v>0</v>
      </c>
      <c r="N234" s="98"/>
      <c r="O234" s="92">
        <f>L228</f>
        <v>-24.8</v>
      </c>
    </row>
    <row r="235" spans="1:15" ht="16.2" thickBot="1" x14ac:dyDescent="0.35">
      <c r="A235" s="93"/>
      <c r="B235" s="407"/>
      <c r="C235" s="404"/>
      <c r="D235" s="123" t="s">
        <v>38</v>
      </c>
      <c r="E235" s="124"/>
      <c r="F235" s="125"/>
      <c r="G235" s="124"/>
      <c r="H235" s="125"/>
      <c r="I235" s="126"/>
      <c r="J235" s="126"/>
      <c r="K235" s="126"/>
      <c r="L235" s="397"/>
      <c r="M235" s="127"/>
      <c r="N235" s="128"/>
      <c r="O235" s="107">
        <f>SUM(O228:O234)</f>
        <v>113340.9000000001</v>
      </c>
    </row>
    <row r="236" spans="1:15" ht="15.6" x14ac:dyDescent="0.3">
      <c r="A236" s="93"/>
      <c r="B236" s="150"/>
      <c r="C236" s="151"/>
      <c r="D236" s="112"/>
      <c r="E236" s="138"/>
      <c r="F236" s="139"/>
      <c r="G236" s="138"/>
      <c r="H236" s="139"/>
      <c r="L236" s="140"/>
      <c r="M236" s="140"/>
      <c r="N236" s="141"/>
      <c r="O236" s="142"/>
    </row>
    <row r="237" spans="1:15" ht="15.6" thickBot="1" x14ac:dyDescent="0.3">
      <c r="A237" s="93"/>
      <c r="B237" s="93"/>
      <c r="C237" s="93"/>
      <c r="D237" s="93"/>
      <c r="E237" s="94"/>
      <c r="F237" s="93"/>
      <c r="G237" s="94"/>
      <c r="H237" s="93"/>
      <c r="I237" s="93"/>
      <c r="J237" s="93"/>
      <c r="K237" s="93"/>
      <c r="L237" s="93"/>
      <c r="M237" s="97"/>
      <c r="N237" s="98"/>
      <c r="O237" s="152"/>
    </row>
    <row r="238" spans="1:15" ht="31.8" thickBot="1" x14ac:dyDescent="0.3">
      <c r="A238" s="93"/>
      <c r="B238" s="143" t="s">
        <v>0</v>
      </c>
      <c r="C238" s="144" t="s">
        <v>1</v>
      </c>
      <c r="D238" s="143"/>
      <c r="E238" s="144" t="s">
        <v>198</v>
      </c>
      <c r="F238" s="145" t="s">
        <v>194</v>
      </c>
      <c r="G238" s="144" t="s">
        <v>196</v>
      </c>
      <c r="H238" s="145" t="s">
        <v>9</v>
      </c>
      <c r="I238" s="143" t="s">
        <v>2</v>
      </c>
      <c r="J238" s="77" t="s">
        <v>39</v>
      </c>
      <c r="K238" s="144" t="s">
        <v>13</v>
      </c>
      <c r="L238" s="144" t="s">
        <v>14</v>
      </c>
      <c r="M238" s="146" t="s">
        <v>15</v>
      </c>
      <c r="N238" s="147" t="s">
        <v>11</v>
      </c>
      <c r="O238" s="148" t="s">
        <v>12</v>
      </c>
    </row>
    <row r="239" spans="1:15" ht="15.6" thickBot="1" x14ac:dyDescent="0.3">
      <c r="A239" s="85">
        <v>1</v>
      </c>
      <c r="B239" s="405" t="s">
        <v>116</v>
      </c>
      <c r="C239" s="392">
        <v>406</v>
      </c>
      <c r="D239" s="87" t="s">
        <v>35</v>
      </c>
      <c r="E239" s="88">
        <v>941.2</v>
      </c>
      <c r="F239" s="171">
        <v>46163</v>
      </c>
      <c r="G239" s="88">
        <v>943.1</v>
      </c>
      <c r="H239" s="171">
        <v>46197</v>
      </c>
      <c r="I239" s="86">
        <f>G239-E239</f>
        <v>1.8999999999999773</v>
      </c>
      <c r="J239" s="86"/>
      <c r="K239" s="86">
        <v>257</v>
      </c>
      <c r="L239" s="382">
        <v>129122</v>
      </c>
      <c r="M239" s="90">
        <f t="shared" ref="M239:M245" si="62">I239*K239+J239</f>
        <v>488.29999999999416</v>
      </c>
      <c r="N239" s="91">
        <v>0</v>
      </c>
      <c r="O239" s="92">
        <f t="shared" ref="O239:O240" si="63">M239-N239</f>
        <v>488.29999999999416</v>
      </c>
    </row>
    <row r="240" spans="1:15" s="342" customFormat="1" ht="15.6" thickBot="1" x14ac:dyDescent="0.3">
      <c r="A240" s="334"/>
      <c r="B240" s="406"/>
      <c r="C240" s="393"/>
      <c r="D240" s="335" t="s">
        <v>36</v>
      </c>
      <c r="E240" s="336">
        <v>95</v>
      </c>
      <c r="F240" s="337">
        <v>46163</v>
      </c>
      <c r="G240" s="336">
        <v>95</v>
      </c>
      <c r="H240" s="337">
        <v>46197</v>
      </c>
      <c r="I240" s="333">
        <f>G240-E240</f>
        <v>0</v>
      </c>
      <c r="J240" s="333">
        <v>0</v>
      </c>
      <c r="K240" s="338">
        <v>1200</v>
      </c>
      <c r="L240" s="383"/>
      <c r="M240" s="339">
        <f>I240*K240+J240</f>
        <v>0</v>
      </c>
      <c r="N240" s="340"/>
      <c r="O240" s="341">
        <f t="shared" si="63"/>
        <v>0</v>
      </c>
    </row>
    <row r="241" spans="1:15" ht="15.6" thickBot="1" x14ac:dyDescent="0.3">
      <c r="A241" s="85"/>
      <c r="B241" s="406"/>
      <c r="C241" s="393"/>
      <c r="D241" s="117" t="s">
        <v>37</v>
      </c>
      <c r="E241" s="118"/>
      <c r="F241" s="119"/>
      <c r="G241" s="118"/>
      <c r="H241" s="119"/>
      <c r="I241" s="120">
        <v>1</v>
      </c>
      <c r="J241" s="120"/>
      <c r="K241" s="120">
        <v>15000</v>
      </c>
      <c r="L241" s="383"/>
      <c r="M241" s="90">
        <f t="shared" si="62"/>
        <v>15000</v>
      </c>
      <c r="N241" s="99"/>
      <c r="O241" s="92">
        <f t="shared" ref="O241:O244" si="64">M241+L241-N241</f>
        <v>15000</v>
      </c>
    </row>
    <row r="242" spans="1:15" ht="15.6" thickBot="1" x14ac:dyDescent="0.3">
      <c r="A242" s="85"/>
      <c r="B242" s="406"/>
      <c r="C242" s="393"/>
      <c r="D242" s="94" t="s">
        <v>90</v>
      </c>
      <c r="E242" s="95"/>
      <c r="F242" s="96"/>
      <c r="G242" s="95"/>
      <c r="H242" s="96"/>
      <c r="I242" s="93"/>
      <c r="J242" s="93"/>
      <c r="K242" s="93">
        <v>0</v>
      </c>
      <c r="L242" s="383"/>
      <c r="M242" s="90">
        <f t="shared" si="62"/>
        <v>0</v>
      </c>
      <c r="N242" s="98"/>
      <c r="O242" s="92">
        <f t="shared" si="64"/>
        <v>0</v>
      </c>
    </row>
    <row r="243" spans="1:15" ht="15.6" thickBot="1" x14ac:dyDescent="0.3">
      <c r="A243" s="85"/>
      <c r="B243" s="406"/>
      <c r="C243" s="393"/>
      <c r="D243" s="94" t="s">
        <v>91</v>
      </c>
      <c r="E243" s="95"/>
      <c r="F243" s="96"/>
      <c r="G243" s="95"/>
      <c r="H243" s="96"/>
      <c r="I243" s="93">
        <v>0</v>
      </c>
      <c r="J243" s="93"/>
      <c r="K243" s="93">
        <v>2000</v>
      </c>
      <c r="L243" s="383"/>
      <c r="M243" s="90">
        <f t="shared" si="62"/>
        <v>0</v>
      </c>
      <c r="N243" s="98"/>
      <c r="O243" s="92">
        <f t="shared" si="64"/>
        <v>0</v>
      </c>
    </row>
    <row r="244" spans="1:15" ht="30.6" thickBot="1" x14ac:dyDescent="0.3">
      <c r="A244" s="85"/>
      <c r="B244" s="406"/>
      <c r="C244" s="393"/>
      <c r="D244" s="94" t="s">
        <v>92</v>
      </c>
      <c r="E244" s="95"/>
      <c r="F244" s="96"/>
      <c r="G244" s="95"/>
      <c r="H244" s="96"/>
      <c r="I244" s="93">
        <v>0</v>
      </c>
      <c r="J244" s="93"/>
      <c r="K244" s="93">
        <v>0</v>
      </c>
      <c r="L244" s="383"/>
      <c r="M244" s="90">
        <f t="shared" si="62"/>
        <v>0</v>
      </c>
      <c r="N244" s="98"/>
      <c r="O244" s="92">
        <f t="shared" si="64"/>
        <v>0</v>
      </c>
    </row>
    <row r="245" spans="1:15" x14ac:dyDescent="0.25">
      <c r="A245" s="85"/>
      <c r="B245" s="406"/>
      <c r="C245" s="393"/>
      <c r="D245" s="94" t="s">
        <v>189</v>
      </c>
      <c r="E245" s="95"/>
      <c r="F245" s="96"/>
      <c r="G245" s="95"/>
      <c r="H245" s="96"/>
      <c r="I245" s="93"/>
      <c r="J245" s="93"/>
      <c r="K245" s="93"/>
      <c r="L245" s="384"/>
      <c r="M245" s="90">
        <f t="shared" si="62"/>
        <v>0</v>
      </c>
      <c r="N245" s="98"/>
      <c r="O245" s="92">
        <f>L239</f>
        <v>129122</v>
      </c>
    </row>
    <row r="246" spans="1:15" ht="16.2" thickBot="1" x14ac:dyDescent="0.35">
      <c r="A246" s="93"/>
      <c r="B246" s="407"/>
      <c r="C246" s="394"/>
      <c r="D246" s="123" t="s">
        <v>38</v>
      </c>
      <c r="E246" s="124"/>
      <c r="F246" s="125"/>
      <c r="G246" s="124"/>
      <c r="H246" s="125"/>
      <c r="I246" s="126"/>
      <c r="J246" s="126"/>
      <c r="K246" s="126"/>
      <c r="L246" s="127"/>
      <c r="M246" s="127"/>
      <c r="N246" s="128"/>
      <c r="O246" s="107">
        <f>SUM(O239:O245)</f>
        <v>144610.29999999999</v>
      </c>
    </row>
    <row r="247" spans="1:15" ht="31.8" thickBot="1" x14ac:dyDescent="0.3">
      <c r="A247" s="93"/>
      <c r="B247" s="143" t="s">
        <v>0</v>
      </c>
      <c r="C247" s="144" t="s">
        <v>1</v>
      </c>
      <c r="D247" s="143"/>
      <c r="E247" s="144" t="s">
        <v>198</v>
      </c>
      <c r="F247" s="145" t="s">
        <v>194</v>
      </c>
      <c r="G247" s="144" t="s">
        <v>196</v>
      </c>
      <c r="H247" s="145" t="s">
        <v>9</v>
      </c>
      <c r="I247" s="143" t="s">
        <v>2</v>
      </c>
      <c r="J247" s="77" t="s">
        <v>39</v>
      </c>
      <c r="K247" s="144" t="s">
        <v>13</v>
      </c>
      <c r="L247" s="144" t="s">
        <v>14</v>
      </c>
      <c r="M247" s="146" t="s">
        <v>15</v>
      </c>
      <c r="N247" s="147" t="s">
        <v>11</v>
      </c>
      <c r="O247" s="148" t="s">
        <v>12</v>
      </c>
    </row>
    <row r="248" spans="1:15" ht="15.6" thickBot="1" x14ac:dyDescent="0.3">
      <c r="A248" s="85">
        <v>1</v>
      </c>
      <c r="B248" s="405" t="s">
        <v>172</v>
      </c>
      <c r="C248" s="392">
        <v>501</v>
      </c>
      <c r="D248" s="87" t="s">
        <v>35</v>
      </c>
      <c r="E248" s="88">
        <v>3365.4</v>
      </c>
      <c r="F248" s="171">
        <v>46163</v>
      </c>
      <c r="G248" s="88">
        <v>3589.8</v>
      </c>
      <c r="H248" s="171">
        <v>46197</v>
      </c>
      <c r="I248" s="343">
        <f>G248-E248</f>
        <v>224.40000000000009</v>
      </c>
      <c r="J248" s="86"/>
      <c r="K248" s="86">
        <v>257</v>
      </c>
      <c r="L248" s="382">
        <v>-24.4</v>
      </c>
      <c r="M248" s="90">
        <f t="shared" ref="M248:M254" si="65">I248*K248+J248</f>
        <v>57670.800000000025</v>
      </c>
      <c r="N248" s="91">
        <v>0</v>
      </c>
      <c r="O248" s="92">
        <f t="shared" ref="O248:O249" si="66">M248-N248</f>
        <v>57670.800000000025</v>
      </c>
    </row>
    <row r="249" spans="1:15" ht="15.6" thickBot="1" x14ac:dyDescent="0.3">
      <c r="A249" s="85"/>
      <c r="B249" s="406"/>
      <c r="C249" s="393"/>
      <c r="D249" s="94" t="s">
        <v>36</v>
      </c>
      <c r="E249" s="95">
        <v>193</v>
      </c>
      <c r="F249" s="171">
        <v>46163</v>
      </c>
      <c r="G249" s="95">
        <v>205</v>
      </c>
      <c r="H249" s="171">
        <v>46197</v>
      </c>
      <c r="I249" s="86">
        <f>G249-E249</f>
        <v>12</v>
      </c>
      <c r="J249" s="86">
        <v>1000</v>
      </c>
      <c r="K249" s="93">
        <v>1200</v>
      </c>
      <c r="L249" s="383"/>
      <c r="M249" s="90">
        <f t="shared" si="65"/>
        <v>15400</v>
      </c>
      <c r="N249" s="98"/>
      <c r="O249" s="92">
        <f t="shared" si="66"/>
        <v>15400</v>
      </c>
    </row>
    <row r="250" spans="1:15" ht="15.6" thickBot="1" x14ac:dyDescent="0.3">
      <c r="A250" s="85"/>
      <c r="B250" s="406"/>
      <c r="C250" s="393"/>
      <c r="D250" s="117" t="s">
        <v>37</v>
      </c>
      <c r="E250" s="118"/>
      <c r="F250" s="119"/>
      <c r="G250" s="118"/>
      <c r="H250" s="119"/>
      <c r="I250" s="120">
        <v>1</v>
      </c>
      <c r="J250" s="120"/>
      <c r="K250" s="120">
        <v>25000</v>
      </c>
      <c r="L250" s="383"/>
      <c r="M250" s="90">
        <f t="shared" si="65"/>
        <v>25000</v>
      </c>
      <c r="N250" s="99"/>
      <c r="O250" s="92">
        <f t="shared" ref="O250:O253" si="67">M250+L250-N250</f>
        <v>25000</v>
      </c>
    </row>
    <row r="251" spans="1:15" ht="15.6" thickBot="1" x14ac:dyDescent="0.3">
      <c r="A251" s="85"/>
      <c r="B251" s="406"/>
      <c r="C251" s="393"/>
      <c r="D251" s="94" t="s">
        <v>90</v>
      </c>
      <c r="E251" s="95"/>
      <c r="F251" s="96"/>
      <c r="G251" s="95"/>
      <c r="H251" s="96"/>
      <c r="I251" s="93"/>
      <c r="J251" s="93"/>
      <c r="K251" s="93">
        <v>0</v>
      </c>
      <c r="L251" s="383"/>
      <c r="M251" s="90">
        <f t="shared" si="65"/>
        <v>0</v>
      </c>
      <c r="N251" s="98"/>
      <c r="O251" s="92">
        <f t="shared" si="67"/>
        <v>0</v>
      </c>
    </row>
    <row r="252" spans="1:15" ht="15.6" thickBot="1" x14ac:dyDescent="0.3">
      <c r="A252" s="85"/>
      <c r="B252" s="406"/>
      <c r="C252" s="393"/>
      <c r="D252" s="94" t="s">
        <v>91</v>
      </c>
      <c r="E252" s="95"/>
      <c r="F252" s="96"/>
      <c r="G252" s="95"/>
      <c r="H252" s="96"/>
      <c r="I252" s="93">
        <v>1</v>
      </c>
      <c r="J252" s="93"/>
      <c r="K252" s="93">
        <v>2000</v>
      </c>
      <c r="L252" s="383"/>
      <c r="M252" s="90">
        <f t="shared" si="65"/>
        <v>2000</v>
      </c>
      <c r="N252" s="98"/>
      <c r="O252" s="92">
        <f t="shared" si="67"/>
        <v>2000</v>
      </c>
    </row>
    <row r="253" spans="1:15" ht="30.6" thickBot="1" x14ac:dyDescent="0.3">
      <c r="A253" s="85"/>
      <c r="B253" s="406"/>
      <c r="C253" s="393"/>
      <c r="D253" s="94" t="s">
        <v>92</v>
      </c>
      <c r="E253" s="95"/>
      <c r="F253" s="96"/>
      <c r="G253" s="95"/>
      <c r="H253" s="96"/>
      <c r="I253" s="93"/>
      <c r="J253" s="93"/>
      <c r="K253" s="93"/>
      <c r="L253" s="383"/>
      <c r="M253" s="90">
        <f t="shared" si="65"/>
        <v>0</v>
      </c>
      <c r="N253" s="98"/>
      <c r="O253" s="92">
        <f t="shared" si="67"/>
        <v>0</v>
      </c>
    </row>
    <row r="254" spans="1:15" x14ac:dyDescent="0.25">
      <c r="A254" s="85"/>
      <c r="B254" s="406"/>
      <c r="C254" s="393"/>
      <c r="D254" s="94" t="s">
        <v>189</v>
      </c>
      <c r="E254" s="95"/>
      <c r="F254" s="96"/>
      <c r="G254" s="95"/>
      <c r="H254" s="96"/>
      <c r="I254" s="93"/>
      <c r="J254" s="93"/>
      <c r="K254" s="93"/>
      <c r="L254" s="384"/>
      <c r="M254" s="90">
        <f t="shared" si="65"/>
        <v>0</v>
      </c>
      <c r="N254" s="98"/>
      <c r="O254" s="92">
        <f>L248</f>
        <v>-24.4</v>
      </c>
    </row>
    <row r="255" spans="1:15" ht="16.2" thickBot="1" x14ac:dyDescent="0.35">
      <c r="A255" s="93"/>
      <c r="B255" s="407"/>
      <c r="C255" s="394"/>
      <c r="D255" s="123" t="s">
        <v>38</v>
      </c>
      <c r="E255" s="124"/>
      <c r="F255" s="125"/>
      <c r="G255" s="124"/>
      <c r="H255" s="125"/>
      <c r="I255" s="126"/>
      <c r="J255" s="126"/>
      <c r="K255" s="126"/>
      <c r="L255" s="127"/>
      <c r="M255" s="127"/>
      <c r="N255" s="128"/>
      <c r="O255" s="107">
        <f>SUM(O248:O254)</f>
        <v>100046.40000000002</v>
      </c>
    </row>
    <row r="256" spans="1:15" ht="15.6" x14ac:dyDescent="0.3">
      <c r="A256" s="93"/>
      <c r="B256" s="150"/>
      <c r="C256" s="137"/>
      <c r="D256" s="112"/>
      <c r="E256" s="138"/>
      <c r="F256" s="139"/>
      <c r="G256" s="138"/>
      <c r="H256" s="139"/>
      <c r="L256" s="140"/>
      <c r="M256" s="140"/>
      <c r="N256" s="141"/>
      <c r="O256" s="142"/>
    </row>
    <row r="257" spans="1:15" ht="15.6" x14ac:dyDescent="0.3">
      <c r="A257" s="93"/>
      <c r="B257" s="150"/>
      <c r="C257" s="137"/>
      <c r="D257" s="112"/>
      <c r="E257" s="138"/>
      <c r="F257" s="139"/>
      <c r="G257" s="138"/>
      <c r="H257" s="139"/>
      <c r="L257" s="140"/>
      <c r="M257" s="140"/>
      <c r="N257" s="141"/>
      <c r="O257" s="142"/>
    </row>
    <row r="258" spans="1:15" ht="15.6" thickBot="1" x14ac:dyDescent="0.3">
      <c r="A258" s="93"/>
      <c r="B258" s="93"/>
      <c r="C258" s="93"/>
      <c r="D258" s="93"/>
      <c r="E258" s="94"/>
      <c r="F258" s="93"/>
      <c r="G258" s="94"/>
      <c r="H258" s="93"/>
      <c r="I258" s="93"/>
      <c r="J258" s="93"/>
      <c r="K258" s="93"/>
      <c r="L258" s="93"/>
      <c r="M258" s="97"/>
      <c r="N258" s="98"/>
      <c r="O258" s="152"/>
    </row>
    <row r="259" spans="1:15" ht="31.8" thickBot="1" x14ac:dyDescent="0.3">
      <c r="A259" s="93"/>
      <c r="B259" s="143" t="s">
        <v>0</v>
      </c>
      <c r="C259" s="144" t="s">
        <v>1</v>
      </c>
      <c r="D259" s="143"/>
      <c r="E259" s="144" t="s">
        <v>198</v>
      </c>
      <c r="F259" s="145" t="s">
        <v>194</v>
      </c>
      <c r="G259" s="144" t="s">
        <v>196</v>
      </c>
      <c r="H259" s="145" t="s">
        <v>9</v>
      </c>
      <c r="I259" s="143" t="s">
        <v>2</v>
      </c>
      <c r="J259" s="77" t="s">
        <v>39</v>
      </c>
      <c r="K259" s="144" t="s">
        <v>13</v>
      </c>
      <c r="L259" s="144" t="s">
        <v>14</v>
      </c>
      <c r="M259" s="146" t="s">
        <v>15</v>
      </c>
      <c r="N259" s="147" t="s">
        <v>11</v>
      </c>
      <c r="O259" s="148" t="s">
        <v>12</v>
      </c>
    </row>
    <row r="260" spans="1:15" ht="15.6" thickBot="1" x14ac:dyDescent="0.3">
      <c r="A260" s="85">
        <v>1</v>
      </c>
      <c r="B260" s="405" t="s">
        <v>117</v>
      </c>
      <c r="C260" s="392">
        <v>502</v>
      </c>
      <c r="D260" s="87" t="s">
        <v>35</v>
      </c>
      <c r="E260" s="88">
        <v>630.9</v>
      </c>
      <c r="F260" s="171">
        <v>46163</v>
      </c>
      <c r="G260" s="88">
        <v>705.1</v>
      </c>
      <c r="H260" s="171">
        <v>46197</v>
      </c>
      <c r="I260" s="86">
        <f>G260-E260</f>
        <v>74.200000000000045</v>
      </c>
      <c r="J260" s="86"/>
      <c r="K260" s="86">
        <v>257</v>
      </c>
      <c r="L260" s="382">
        <v>0.3</v>
      </c>
      <c r="M260" s="90">
        <f t="shared" ref="M260:M266" si="68">I260*K260+J260</f>
        <v>19069.400000000012</v>
      </c>
      <c r="N260" s="91">
        <v>0</v>
      </c>
      <c r="O260" s="92">
        <f t="shared" ref="O260:O261" si="69">M260-N260</f>
        <v>19069.400000000012</v>
      </c>
    </row>
    <row r="261" spans="1:15" ht="15.6" thickBot="1" x14ac:dyDescent="0.3">
      <c r="A261" s="85"/>
      <c r="B261" s="406"/>
      <c r="C261" s="393"/>
      <c r="D261" s="94" t="s">
        <v>36</v>
      </c>
      <c r="E261" s="95">
        <v>73</v>
      </c>
      <c r="F261" s="171">
        <v>46163</v>
      </c>
      <c r="G261" s="95">
        <v>79</v>
      </c>
      <c r="H261" s="171">
        <v>46197</v>
      </c>
      <c r="I261" s="86">
        <f>G261-E261</f>
        <v>6</v>
      </c>
      <c r="J261" s="86">
        <v>1000</v>
      </c>
      <c r="K261" s="93">
        <v>1200</v>
      </c>
      <c r="L261" s="383"/>
      <c r="M261" s="90">
        <f t="shared" si="68"/>
        <v>8200</v>
      </c>
      <c r="N261" s="98"/>
      <c r="O261" s="92">
        <f t="shared" si="69"/>
        <v>8200</v>
      </c>
    </row>
    <row r="262" spans="1:15" ht="15.6" thickBot="1" x14ac:dyDescent="0.3">
      <c r="A262" s="85"/>
      <c r="B262" s="406"/>
      <c r="C262" s="393"/>
      <c r="D262" s="117" t="s">
        <v>37</v>
      </c>
      <c r="E262" s="118"/>
      <c r="F262" s="119"/>
      <c r="G262" s="118"/>
      <c r="H262" s="119"/>
      <c r="I262" s="120">
        <v>1</v>
      </c>
      <c r="J262" s="120"/>
      <c r="K262" s="120">
        <v>25000</v>
      </c>
      <c r="L262" s="383"/>
      <c r="M262" s="90">
        <f t="shared" si="68"/>
        <v>25000</v>
      </c>
      <c r="N262" s="99"/>
      <c r="O262" s="92">
        <f t="shared" ref="O262:O265" si="70">M262+L262-N262</f>
        <v>25000</v>
      </c>
    </row>
    <row r="263" spans="1:15" ht="18.75" customHeight="1" thickBot="1" x14ac:dyDescent="0.3">
      <c r="A263" s="85"/>
      <c r="B263" s="406"/>
      <c r="C263" s="393"/>
      <c r="D263" s="94" t="s">
        <v>90</v>
      </c>
      <c r="E263" s="95"/>
      <c r="F263" s="96"/>
      <c r="G263" s="95"/>
      <c r="H263" s="96"/>
      <c r="I263" s="93"/>
      <c r="J263" s="93"/>
      <c r="K263" s="93">
        <v>0</v>
      </c>
      <c r="L263" s="383"/>
      <c r="M263" s="90">
        <f t="shared" si="68"/>
        <v>0</v>
      </c>
      <c r="N263" s="98"/>
      <c r="O263" s="92">
        <f t="shared" si="70"/>
        <v>0</v>
      </c>
    </row>
    <row r="264" spans="1:15" ht="18.75" customHeight="1" thickBot="1" x14ac:dyDescent="0.3">
      <c r="A264" s="85"/>
      <c r="B264" s="406"/>
      <c r="C264" s="393"/>
      <c r="D264" s="94" t="s">
        <v>91</v>
      </c>
      <c r="E264" s="95"/>
      <c r="F264" s="96"/>
      <c r="G264" s="95"/>
      <c r="H264" s="96"/>
      <c r="I264" s="93">
        <v>1</v>
      </c>
      <c r="J264" s="93"/>
      <c r="K264" s="93">
        <v>2000</v>
      </c>
      <c r="L264" s="383"/>
      <c r="M264" s="90">
        <f t="shared" si="68"/>
        <v>2000</v>
      </c>
      <c r="N264" s="98"/>
      <c r="O264" s="92">
        <f t="shared" si="70"/>
        <v>2000</v>
      </c>
    </row>
    <row r="265" spans="1:15" ht="18.75" customHeight="1" thickBot="1" x14ac:dyDescent="0.3">
      <c r="A265" s="85"/>
      <c r="B265" s="406"/>
      <c r="C265" s="393"/>
      <c r="D265" s="94" t="s">
        <v>92</v>
      </c>
      <c r="E265" s="95"/>
      <c r="F265" s="96"/>
      <c r="G265" s="95"/>
      <c r="H265" s="96"/>
      <c r="I265" s="93">
        <v>0</v>
      </c>
      <c r="J265" s="93"/>
      <c r="K265" s="93">
        <v>0</v>
      </c>
      <c r="L265" s="383"/>
      <c r="M265" s="90">
        <f t="shared" si="68"/>
        <v>0</v>
      </c>
      <c r="N265" s="98"/>
      <c r="O265" s="92">
        <f t="shared" si="70"/>
        <v>0</v>
      </c>
    </row>
    <row r="266" spans="1:15" x14ac:dyDescent="0.25">
      <c r="A266" s="85"/>
      <c r="B266" s="406"/>
      <c r="C266" s="393"/>
      <c r="D266" s="94" t="s">
        <v>189</v>
      </c>
      <c r="E266" s="95"/>
      <c r="F266" s="96"/>
      <c r="G266" s="95"/>
      <c r="H266" s="96"/>
      <c r="I266" s="93"/>
      <c r="J266" s="93"/>
      <c r="K266" s="93"/>
      <c r="L266" s="384"/>
      <c r="M266" s="90">
        <f t="shared" si="68"/>
        <v>0</v>
      </c>
      <c r="N266" s="98"/>
      <c r="O266" s="92">
        <f>L260</f>
        <v>0.3</v>
      </c>
    </row>
    <row r="267" spans="1:15" ht="16.2" thickBot="1" x14ac:dyDescent="0.35">
      <c r="A267" s="93"/>
      <c r="B267" s="407"/>
      <c r="C267" s="394"/>
      <c r="D267" s="123" t="s">
        <v>38</v>
      </c>
      <c r="E267" s="124"/>
      <c r="F267" s="125"/>
      <c r="G267" s="124"/>
      <c r="H267" s="125"/>
      <c r="I267" s="126"/>
      <c r="J267" s="126"/>
      <c r="K267" s="126"/>
      <c r="L267" s="127"/>
      <c r="M267" s="127"/>
      <c r="N267" s="128"/>
      <c r="O267" s="107">
        <f>SUM(O260:O266)</f>
        <v>54269.700000000012</v>
      </c>
    </row>
    <row r="268" spans="1:15" ht="16.2" thickBot="1" x14ac:dyDescent="0.35">
      <c r="A268" s="93"/>
      <c r="B268" s="150"/>
      <c r="C268" s="137"/>
      <c r="D268" s="112"/>
      <c r="E268" s="138"/>
      <c r="F268" s="139"/>
      <c r="G268" s="138"/>
      <c r="H268" s="139"/>
      <c r="L268" s="140"/>
      <c r="M268" s="140"/>
      <c r="N268" s="141"/>
      <c r="O268" s="142"/>
    </row>
    <row r="269" spans="1:15" ht="31.8" thickBot="1" x14ac:dyDescent="0.3">
      <c r="A269" s="93"/>
      <c r="B269" s="143" t="s">
        <v>0</v>
      </c>
      <c r="C269" s="144" t="s">
        <v>1</v>
      </c>
      <c r="D269" s="143"/>
      <c r="E269" s="144" t="s">
        <v>198</v>
      </c>
      <c r="F269" s="145" t="s">
        <v>194</v>
      </c>
      <c r="G269" s="144" t="s">
        <v>196</v>
      </c>
      <c r="H269" s="145" t="s">
        <v>9</v>
      </c>
      <c r="I269" s="143" t="s">
        <v>2</v>
      </c>
      <c r="J269" s="77" t="s">
        <v>39</v>
      </c>
      <c r="K269" s="144" t="s">
        <v>13</v>
      </c>
      <c r="L269" s="144" t="s">
        <v>14</v>
      </c>
      <c r="M269" s="146" t="s">
        <v>15</v>
      </c>
      <c r="N269" s="147" t="s">
        <v>11</v>
      </c>
      <c r="O269" s="148" t="s">
        <v>12</v>
      </c>
    </row>
    <row r="270" spans="1:15" ht="15.6" thickBot="1" x14ac:dyDescent="0.3">
      <c r="A270" s="85">
        <v>1</v>
      </c>
      <c r="B270" s="405" t="s">
        <v>118</v>
      </c>
      <c r="C270" s="392">
        <v>503</v>
      </c>
      <c r="D270" s="87" t="s">
        <v>35</v>
      </c>
      <c r="E270" s="88">
        <v>2642.8</v>
      </c>
      <c r="F270" s="171">
        <v>46163</v>
      </c>
      <c r="G270" s="88">
        <v>2676.4</v>
      </c>
      <c r="H270" s="171">
        <v>46197</v>
      </c>
      <c r="I270" s="86">
        <f>G270-E270</f>
        <v>33.599999999999909</v>
      </c>
      <c r="J270" s="86"/>
      <c r="K270" s="86">
        <v>257</v>
      </c>
      <c r="L270" s="382">
        <v>55605</v>
      </c>
      <c r="M270" s="90">
        <f t="shared" ref="M270:M276" si="71">I270*K270+J270</f>
        <v>8635.1999999999771</v>
      </c>
      <c r="N270" s="91">
        <v>0</v>
      </c>
      <c r="O270" s="92">
        <f t="shared" ref="O270:O271" si="72">M270-N270</f>
        <v>8635.1999999999771</v>
      </c>
    </row>
    <row r="271" spans="1:15" ht="15.6" thickBot="1" x14ac:dyDescent="0.3">
      <c r="A271" s="85"/>
      <c r="B271" s="406"/>
      <c r="C271" s="393"/>
      <c r="D271" s="94" t="s">
        <v>36</v>
      </c>
      <c r="E271" s="95">
        <v>558</v>
      </c>
      <c r="F271" s="171">
        <v>46163</v>
      </c>
      <c r="G271" s="95">
        <v>578</v>
      </c>
      <c r="H271" s="171">
        <v>46197</v>
      </c>
      <c r="I271" s="86">
        <f>G271-E271</f>
        <v>20</v>
      </c>
      <c r="J271" s="86">
        <v>1000</v>
      </c>
      <c r="K271" s="93">
        <v>1200</v>
      </c>
      <c r="L271" s="383"/>
      <c r="M271" s="90">
        <f t="shared" si="71"/>
        <v>25000</v>
      </c>
      <c r="N271" s="98"/>
      <c r="O271" s="92">
        <f t="shared" si="72"/>
        <v>25000</v>
      </c>
    </row>
    <row r="272" spans="1:15" ht="15.6" thickBot="1" x14ac:dyDescent="0.3">
      <c r="A272" s="85"/>
      <c r="B272" s="406"/>
      <c r="C272" s="393"/>
      <c r="D272" s="117" t="s">
        <v>37</v>
      </c>
      <c r="E272" s="118"/>
      <c r="F272" s="119"/>
      <c r="G272" s="118"/>
      <c r="H272" s="119"/>
      <c r="I272" s="120">
        <v>1</v>
      </c>
      <c r="J272" s="120"/>
      <c r="K272" s="120">
        <v>25000</v>
      </c>
      <c r="L272" s="383"/>
      <c r="M272" s="90">
        <f t="shared" si="71"/>
        <v>25000</v>
      </c>
      <c r="N272" s="99"/>
      <c r="O272" s="92">
        <f t="shared" ref="O272:O275" si="73">M272+L272-N272</f>
        <v>25000</v>
      </c>
    </row>
    <row r="273" spans="1:15" ht="15.6" thickBot="1" x14ac:dyDescent="0.3">
      <c r="A273" s="85"/>
      <c r="B273" s="406"/>
      <c r="C273" s="393"/>
      <c r="D273" s="94" t="s">
        <v>90</v>
      </c>
      <c r="E273" s="95"/>
      <c r="F273" s="96"/>
      <c r="G273" s="95"/>
      <c r="H273" s="96"/>
      <c r="I273" s="93"/>
      <c r="J273" s="93"/>
      <c r="K273" s="93">
        <v>0</v>
      </c>
      <c r="L273" s="383"/>
      <c r="M273" s="90">
        <f t="shared" si="71"/>
        <v>0</v>
      </c>
      <c r="N273" s="98"/>
      <c r="O273" s="92">
        <f t="shared" si="73"/>
        <v>0</v>
      </c>
    </row>
    <row r="274" spans="1:15" ht="15.6" thickBot="1" x14ac:dyDescent="0.3">
      <c r="A274" s="85"/>
      <c r="B274" s="406"/>
      <c r="C274" s="393"/>
      <c r="D274" s="94" t="s">
        <v>91</v>
      </c>
      <c r="E274" s="95"/>
      <c r="F274" s="96"/>
      <c r="G274" s="95"/>
      <c r="H274" s="96"/>
      <c r="I274" s="93">
        <v>1</v>
      </c>
      <c r="J274" s="93"/>
      <c r="K274" s="93">
        <v>2000</v>
      </c>
      <c r="L274" s="383"/>
      <c r="M274" s="90">
        <f t="shared" si="71"/>
        <v>2000</v>
      </c>
      <c r="N274" s="98"/>
      <c r="O274" s="92">
        <f t="shared" si="73"/>
        <v>2000</v>
      </c>
    </row>
    <row r="275" spans="1:15" ht="30.6" thickBot="1" x14ac:dyDescent="0.3">
      <c r="A275" s="85"/>
      <c r="B275" s="406"/>
      <c r="C275" s="393"/>
      <c r="D275" s="94" t="s">
        <v>92</v>
      </c>
      <c r="E275" s="95"/>
      <c r="F275" s="96"/>
      <c r="G275" s="95"/>
      <c r="H275" s="96"/>
      <c r="I275" s="93">
        <v>0</v>
      </c>
      <c r="J275" s="93"/>
      <c r="K275" s="93"/>
      <c r="L275" s="383"/>
      <c r="M275" s="90">
        <f t="shared" si="71"/>
        <v>0</v>
      </c>
      <c r="N275" s="98"/>
      <c r="O275" s="92">
        <f t="shared" si="73"/>
        <v>0</v>
      </c>
    </row>
    <row r="276" spans="1:15" x14ac:dyDescent="0.25">
      <c r="A276" s="85"/>
      <c r="B276" s="406"/>
      <c r="C276" s="393"/>
      <c r="D276" s="94" t="s">
        <v>189</v>
      </c>
      <c r="E276" s="95"/>
      <c r="F276" s="96"/>
      <c r="G276" s="95"/>
      <c r="H276" s="96"/>
      <c r="I276" s="93"/>
      <c r="J276" s="93"/>
      <c r="K276" s="93"/>
      <c r="L276" s="384"/>
      <c r="M276" s="90">
        <f t="shared" si="71"/>
        <v>0</v>
      </c>
      <c r="N276" s="98"/>
      <c r="O276" s="92">
        <f>L270</f>
        <v>55605</v>
      </c>
    </row>
    <row r="277" spans="1:15" ht="16.2" thickBot="1" x14ac:dyDescent="0.35">
      <c r="A277" s="93"/>
      <c r="B277" s="407"/>
      <c r="C277" s="394"/>
      <c r="D277" s="123" t="s">
        <v>38</v>
      </c>
      <c r="E277" s="124"/>
      <c r="F277" s="125"/>
      <c r="G277" s="124"/>
      <c r="H277" s="125"/>
      <c r="I277" s="126"/>
      <c r="J277" s="126"/>
      <c r="K277" s="126"/>
      <c r="L277" s="127"/>
      <c r="M277" s="127"/>
      <c r="N277" s="128"/>
      <c r="O277" s="107">
        <f>SUM(O270:O276)</f>
        <v>116240.19999999998</v>
      </c>
    </row>
    <row r="278" spans="1:15" ht="15.6" x14ac:dyDescent="0.3">
      <c r="A278" s="93"/>
      <c r="B278" s="150"/>
      <c r="C278" s="137"/>
      <c r="D278" s="112"/>
      <c r="E278" s="138"/>
      <c r="F278" s="139"/>
      <c r="G278" s="138"/>
      <c r="H278" s="139"/>
      <c r="L278" s="140"/>
      <c r="M278" s="140"/>
      <c r="N278" s="141"/>
      <c r="O278" s="142"/>
    </row>
    <row r="279" spans="1:15" ht="16.2" thickBot="1" x14ac:dyDescent="0.35">
      <c r="A279" s="93"/>
      <c r="B279" s="150"/>
      <c r="C279" s="137"/>
      <c r="D279" s="112"/>
      <c r="E279" s="138"/>
      <c r="F279" s="139"/>
      <c r="G279" s="138"/>
      <c r="H279" s="139"/>
      <c r="L279" s="140"/>
      <c r="M279" s="140"/>
      <c r="N279" s="141"/>
      <c r="O279" s="142"/>
    </row>
    <row r="280" spans="1:15" ht="31.8" thickBot="1" x14ac:dyDescent="0.3">
      <c r="A280" s="93"/>
      <c r="B280" s="143" t="s">
        <v>0</v>
      </c>
      <c r="C280" s="144" t="s">
        <v>1</v>
      </c>
      <c r="D280" s="143"/>
      <c r="E280" s="144" t="s">
        <v>198</v>
      </c>
      <c r="F280" s="145" t="s">
        <v>194</v>
      </c>
      <c r="G280" s="144" t="s">
        <v>196</v>
      </c>
      <c r="H280" s="145" t="s">
        <v>9</v>
      </c>
      <c r="I280" s="143" t="s">
        <v>2</v>
      </c>
      <c r="J280" s="77" t="s">
        <v>39</v>
      </c>
      <c r="K280" s="144" t="s">
        <v>13</v>
      </c>
      <c r="L280" s="144" t="s">
        <v>14</v>
      </c>
      <c r="M280" s="146" t="s">
        <v>15</v>
      </c>
      <c r="N280" s="147" t="s">
        <v>11</v>
      </c>
      <c r="O280" s="148" t="s">
        <v>12</v>
      </c>
    </row>
    <row r="281" spans="1:15" ht="15.6" thickBot="1" x14ac:dyDescent="0.3">
      <c r="A281" s="85">
        <v>1</v>
      </c>
      <c r="B281" s="405" t="s">
        <v>119</v>
      </c>
      <c r="C281" s="392">
        <v>504</v>
      </c>
      <c r="D281" s="87" t="s">
        <v>35</v>
      </c>
      <c r="E281" s="88">
        <v>2496.1</v>
      </c>
      <c r="F281" s="171">
        <v>46163</v>
      </c>
      <c r="G281" s="88">
        <v>2496.1</v>
      </c>
      <c r="H281" s="171">
        <v>46197</v>
      </c>
      <c r="I281" s="86">
        <f>G281-E281</f>
        <v>0</v>
      </c>
      <c r="J281" s="86"/>
      <c r="K281" s="86">
        <v>257</v>
      </c>
      <c r="L281" s="382">
        <v>66.2</v>
      </c>
      <c r="M281" s="90">
        <f t="shared" ref="M281:M287" si="74">I281*K281+J281</f>
        <v>0</v>
      </c>
      <c r="N281" s="91">
        <v>0</v>
      </c>
      <c r="O281" s="92">
        <f t="shared" ref="O281:O282" si="75">M281-N281</f>
        <v>0</v>
      </c>
    </row>
    <row r="282" spans="1:15" ht="15.6" thickBot="1" x14ac:dyDescent="0.3">
      <c r="A282" s="85"/>
      <c r="B282" s="406"/>
      <c r="C282" s="393"/>
      <c r="D282" s="94" t="s">
        <v>36</v>
      </c>
      <c r="E282" s="95">
        <v>445</v>
      </c>
      <c r="F282" s="171">
        <v>46163</v>
      </c>
      <c r="G282" s="95">
        <v>445</v>
      </c>
      <c r="H282" s="171">
        <v>46197</v>
      </c>
      <c r="I282" s="86">
        <f>G282-E282</f>
        <v>0</v>
      </c>
      <c r="J282" s="86">
        <v>0</v>
      </c>
      <c r="K282" s="93">
        <v>1200</v>
      </c>
      <c r="L282" s="383"/>
      <c r="M282" s="90">
        <f t="shared" si="74"/>
        <v>0</v>
      </c>
      <c r="N282" s="98"/>
      <c r="O282" s="92">
        <f t="shared" si="75"/>
        <v>0</v>
      </c>
    </row>
    <row r="283" spans="1:15" ht="15.6" thickBot="1" x14ac:dyDescent="0.3">
      <c r="A283" s="85"/>
      <c r="B283" s="406"/>
      <c r="C283" s="393"/>
      <c r="D283" s="117" t="s">
        <v>37</v>
      </c>
      <c r="E283" s="118"/>
      <c r="F283" s="119"/>
      <c r="G283" s="118"/>
      <c r="H283" s="119"/>
      <c r="I283" s="120">
        <v>1</v>
      </c>
      <c r="J283" s="120"/>
      <c r="K283" s="120">
        <v>15000</v>
      </c>
      <c r="L283" s="383"/>
      <c r="M283" s="90">
        <f t="shared" si="74"/>
        <v>15000</v>
      </c>
      <c r="N283" s="99"/>
      <c r="O283" s="92">
        <f t="shared" ref="O283:O286" si="76">M283+L283-N283</f>
        <v>15000</v>
      </c>
    </row>
    <row r="284" spans="1:15" ht="15.6" thickBot="1" x14ac:dyDescent="0.3">
      <c r="A284" s="85"/>
      <c r="B284" s="406"/>
      <c r="C284" s="393"/>
      <c r="D284" s="94" t="s">
        <v>90</v>
      </c>
      <c r="E284" s="95"/>
      <c r="F284" s="96"/>
      <c r="G284" s="95"/>
      <c r="H284" s="96"/>
      <c r="I284" s="93"/>
      <c r="J284" s="93"/>
      <c r="K284" s="93">
        <v>0</v>
      </c>
      <c r="L284" s="383"/>
      <c r="M284" s="90">
        <f t="shared" si="74"/>
        <v>0</v>
      </c>
      <c r="N284" s="98"/>
      <c r="O284" s="92">
        <f t="shared" si="76"/>
        <v>0</v>
      </c>
    </row>
    <row r="285" spans="1:15" ht="15.6" thickBot="1" x14ac:dyDescent="0.3">
      <c r="A285" s="85"/>
      <c r="B285" s="406"/>
      <c r="C285" s="393"/>
      <c r="D285" s="94" t="s">
        <v>91</v>
      </c>
      <c r="E285" s="95"/>
      <c r="F285" s="96"/>
      <c r="G285" s="95"/>
      <c r="H285" s="96"/>
      <c r="I285" s="93">
        <v>1</v>
      </c>
      <c r="J285" s="93"/>
      <c r="K285" s="93">
        <v>2000</v>
      </c>
      <c r="L285" s="383"/>
      <c r="M285" s="90">
        <f t="shared" si="74"/>
        <v>2000</v>
      </c>
      <c r="N285" s="98"/>
      <c r="O285" s="92">
        <f t="shared" si="76"/>
        <v>2000</v>
      </c>
    </row>
    <row r="286" spans="1:15" ht="30.6" thickBot="1" x14ac:dyDescent="0.3">
      <c r="A286" s="85"/>
      <c r="B286" s="406"/>
      <c r="C286" s="393"/>
      <c r="D286" s="94" t="s">
        <v>92</v>
      </c>
      <c r="E286" s="95"/>
      <c r="F286" s="96"/>
      <c r="G286" s="95"/>
      <c r="H286" s="96"/>
      <c r="I286" s="93"/>
      <c r="J286" s="93"/>
      <c r="K286" s="93"/>
      <c r="L286" s="383"/>
      <c r="M286" s="90">
        <f t="shared" si="74"/>
        <v>0</v>
      </c>
      <c r="N286" s="98"/>
      <c r="O286" s="92">
        <f t="shared" si="76"/>
        <v>0</v>
      </c>
    </row>
    <row r="287" spans="1:15" x14ac:dyDescent="0.25">
      <c r="A287" s="85"/>
      <c r="B287" s="406"/>
      <c r="C287" s="393"/>
      <c r="D287" s="94" t="s">
        <v>189</v>
      </c>
      <c r="E287" s="95"/>
      <c r="F287" s="96"/>
      <c r="G287" s="95"/>
      <c r="H287" s="96"/>
      <c r="I287" s="93"/>
      <c r="J287" s="93"/>
      <c r="K287" s="93"/>
      <c r="L287" s="384"/>
      <c r="M287" s="90">
        <f t="shared" si="74"/>
        <v>0</v>
      </c>
      <c r="N287" s="98"/>
      <c r="O287" s="92">
        <f>L281</f>
        <v>66.2</v>
      </c>
    </row>
    <row r="288" spans="1:15" ht="16.2" thickBot="1" x14ac:dyDescent="0.35">
      <c r="A288" s="93"/>
      <c r="B288" s="407"/>
      <c r="C288" s="394"/>
      <c r="D288" s="123" t="s">
        <v>38</v>
      </c>
      <c r="E288" s="124"/>
      <c r="F288" s="125"/>
      <c r="G288" s="124"/>
      <c r="H288" s="125"/>
      <c r="I288" s="126"/>
      <c r="J288" s="126"/>
      <c r="K288" s="126"/>
      <c r="L288" s="127"/>
      <c r="M288" s="127"/>
      <c r="N288" s="128"/>
      <c r="O288" s="107">
        <f>SUM(O281:O287)</f>
        <v>17066.2</v>
      </c>
    </row>
    <row r="289" spans="1:15" ht="15.6" x14ac:dyDescent="0.3">
      <c r="A289" s="93"/>
      <c r="B289" s="150"/>
      <c r="C289" s="137"/>
      <c r="D289" s="112"/>
      <c r="E289" s="138"/>
      <c r="F289" s="139"/>
      <c r="G289" s="138"/>
      <c r="H289" s="139"/>
      <c r="L289" s="140"/>
      <c r="M289" s="140"/>
      <c r="N289" s="141"/>
      <c r="O289" s="142"/>
    </row>
    <row r="290" spans="1:15" ht="16.2" thickBot="1" x14ac:dyDescent="0.35">
      <c r="A290" s="93"/>
      <c r="B290" s="150"/>
      <c r="C290" s="137"/>
      <c r="D290" s="112"/>
      <c r="E290" s="138"/>
      <c r="F290" s="139"/>
      <c r="G290" s="138"/>
      <c r="H290" s="139"/>
      <c r="L290" s="140"/>
      <c r="M290" s="140"/>
      <c r="N290" s="141"/>
      <c r="O290" s="142"/>
    </row>
    <row r="291" spans="1:15" ht="31.8" thickBot="1" x14ac:dyDescent="0.3">
      <c r="A291" s="93"/>
      <c r="B291" s="143" t="s">
        <v>0</v>
      </c>
      <c r="C291" s="144" t="s">
        <v>1</v>
      </c>
      <c r="D291" s="143"/>
      <c r="E291" s="144" t="s">
        <v>198</v>
      </c>
      <c r="F291" s="145" t="s">
        <v>194</v>
      </c>
      <c r="G291" s="144" t="s">
        <v>196</v>
      </c>
      <c r="H291" s="145" t="s">
        <v>9</v>
      </c>
      <c r="I291" s="143" t="s">
        <v>2</v>
      </c>
      <c r="J291" s="77" t="s">
        <v>39</v>
      </c>
      <c r="K291" s="144" t="s">
        <v>13</v>
      </c>
      <c r="L291" s="144" t="s">
        <v>14</v>
      </c>
      <c r="M291" s="146" t="s">
        <v>15</v>
      </c>
      <c r="N291" s="147" t="s">
        <v>11</v>
      </c>
      <c r="O291" s="148" t="s">
        <v>12</v>
      </c>
    </row>
    <row r="292" spans="1:15" ht="15.6" thickBot="1" x14ac:dyDescent="0.3">
      <c r="A292" s="85">
        <v>1</v>
      </c>
      <c r="B292" s="405" t="s">
        <v>120</v>
      </c>
      <c r="C292" s="392">
        <v>506</v>
      </c>
      <c r="D292" s="87" t="s">
        <v>35</v>
      </c>
      <c r="E292" s="88">
        <v>3434.1</v>
      </c>
      <c r="F292" s="171">
        <v>46163</v>
      </c>
      <c r="G292" s="88">
        <v>3555.2</v>
      </c>
      <c r="H292" s="171">
        <v>46197</v>
      </c>
      <c r="I292" s="86">
        <f>G292-E292</f>
        <v>121.09999999999991</v>
      </c>
      <c r="J292" s="86"/>
      <c r="K292" s="86">
        <v>257</v>
      </c>
      <c r="L292" s="382">
        <v>717.1</v>
      </c>
      <c r="M292" s="90">
        <f t="shared" ref="M292:M298" si="77">I292*K292+J292</f>
        <v>31122.699999999975</v>
      </c>
      <c r="N292" s="91">
        <v>0</v>
      </c>
      <c r="O292" s="92">
        <f t="shared" ref="O292:O293" si="78">M292-N292</f>
        <v>31122.699999999975</v>
      </c>
    </row>
    <row r="293" spans="1:15" ht="15.6" thickBot="1" x14ac:dyDescent="0.3">
      <c r="A293" s="85"/>
      <c r="B293" s="406"/>
      <c r="C293" s="393"/>
      <c r="D293" s="94" t="s">
        <v>36</v>
      </c>
      <c r="E293" s="95">
        <v>348</v>
      </c>
      <c r="F293" s="171">
        <v>46163</v>
      </c>
      <c r="G293" s="95">
        <v>361</v>
      </c>
      <c r="H293" s="171">
        <v>46197</v>
      </c>
      <c r="I293" s="86">
        <f>G293-E293</f>
        <v>13</v>
      </c>
      <c r="J293" s="86">
        <v>1000</v>
      </c>
      <c r="K293" s="93">
        <v>1200</v>
      </c>
      <c r="L293" s="383"/>
      <c r="M293" s="90">
        <f t="shared" si="77"/>
        <v>16600</v>
      </c>
      <c r="N293" s="98"/>
      <c r="O293" s="92">
        <f t="shared" si="78"/>
        <v>16600</v>
      </c>
    </row>
    <row r="294" spans="1:15" ht="15.6" thickBot="1" x14ac:dyDescent="0.3">
      <c r="A294" s="85"/>
      <c r="B294" s="406"/>
      <c r="C294" s="393"/>
      <c r="D294" s="117" t="s">
        <v>37</v>
      </c>
      <c r="E294" s="118"/>
      <c r="F294" s="119"/>
      <c r="G294" s="118"/>
      <c r="H294" s="119"/>
      <c r="I294" s="120">
        <v>1</v>
      </c>
      <c r="J294" s="120"/>
      <c r="K294" s="120">
        <v>25000</v>
      </c>
      <c r="L294" s="383"/>
      <c r="M294" s="90">
        <f t="shared" si="77"/>
        <v>25000</v>
      </c>
      <c r="N294" s="99"/>
      <c r="O294" s="92">
        <f t="shared" ref="O294:O297" si="79">M294+L294-N294</f>
        <v>25000</v>
      </c>
    </row>
    <row r="295" spans="1:15" ht="15.6" thickBot="1" x14ac:dyDescent="0.3">
      <c r="A295" s="85"/>
      <c r="B295" s="406"/>
      <c r="C295" s="393"/>
      <c r="D295" s="94" t="s">
        <v>90</v>
      </c>
      <c r="E295" s="95"/>
      <c r="F295" s="96"/>
      <c r="G295" s="95"/>
      <c r="H295" s="96"/>
      <c r="I295" s="93"/>
      <c r="J295" s="93"/>
      <c r="K295" s="93">
        <v>0</v>
      </c>
      <c r="L295" s="383"/>
      <c r="M295" s="90">
        <f t="shared" si="77"/>
        <v>0</v>
      </c>
      <c r="N295" s="98"/>
      <c r="O295" s="92">
        <f t="shared" si="79"/>
        <v>0</v>
      </c>
    </row>
    <row r="296" spans="1:15" ht="15.6" thickBot="1" x14ac:dyDescent="0.3">
      <c r="A296" s="85"/>
      <c r="B296" s="406"/>
      <c r="C296" s="393"/>
      <c r="D296" s="94" t="s">
        <v>91</v>
      </c>
      <c r="E296" s="95"/>
      <c r="F296" s="96"/>
      <c r="G296" s="95"/>
      <c r="H296" s="96"/>
      <c r="I296" s="93">
        <v>1</v>
      </c>
      <c r="J296" s="93"/>
      <c r="K296" s="93">
        <v>2000</v>
      </c>
      <c r="L296" s="383"/>
      <c r="M296" s="90">
        <f t="shared" si="77"/>
        <v>2000</v>
      </c>
      <c r="N296" s="98"/>
      <c r="O296" s="92">
        <f t="shared" si="79"/>
        <v>2000</v>
      </c>
    </row>
    <row r="297" spans="1:15" ht="30.6" thickBot="1" x14ac:dyDescent="0.3">
      <c r="A297" s="85"/>
      <c r="B297" s="406"/>
      <c r="C297" s="393"/>
      <c r="D297" s="94" t="s">
        <v>92</v>
      </c>
      <c r="E297" s="95"/>
      <c r="F297" s="96"/>
      <c r="G297" s="95"/>
      <c r="H297" s="96"/>
      <c r="I297" s="93"/>
      <c r="J297" s="93"/>
      <c r="K297" s="93"/>
      <c r="L297" s="383"/>
      <c r="M297" s="90">
        <f t="shared" si="77"/>
        <v>0</v>
      </c>
      <c r="N297" s="98"/>
      <c r="O297" s="92">
        <f t="shared" si="79"/>
        <v>0</v>
      </c>
    </row>
    <row r="298" spans="1:15" x14ac:dyDescent="0.25">
      <c r="A298" s="85"/>
      <c r="B298" s="406"/>
      <c r="C298" s="393"/>
      <c r="D298" s="94" t="s">
        <v>189</v>
      </c>
      <c r="E298" s="95"/>
      <c r="F298" s="96"/>
      <c r="G298" s="95"/>
      <c r="H298" s="96"/>
      <c r="I298" s="93"/>
      <c r="J298" s="93"/>
      <c r="K298" s="93"/>
      <c r="L298" s="384"/>
      <c r="M298" s="90">
        <f t="shared" si="77"/>
        <v>0</v>
      </c>
      <c r="N298" s="98"/>
      <c r="O298" s="92">
        <f>L292</f>
        <v>717.1</v>
      </c>
    </row>
    <row r="299" spans="1:15" ht="16.2" thickBot="1" x14ac:dyDescent="0.35">
      <c r="A299" s="93"/>
      <c r="B299" s="407"/>
      <c r="C299" s="394"/>
      <c r="D299" s="123" t="s">
        <v>38</v>
      </c>
      <c r="E299" s="124"/>
      <c r="F299" s="125"/>
      <c r="G299" s="124"/>
      <c r="H299" s="125"/>
      <c r="I299" s="126"/>
      <c r="J299" s="126"/>
      <c r="K299" s="126"/>
      <c r="L299" s="127"/>
      <c r="M299" s="127"/>
      <c r="N299" s="128"/>
      <c r="O299" s="107">
        <f>SUM(O292:O298)</f>
        <v>75439.799999999988</v>
      </c>
    </row>
    <row r="300" spans="1:15" ht="16.2" thickBot="1" x14ac:dyDescent="0.35">
      <c r="A300" s="93"/>
      <c r="B300" s="93"/>
      <c r="C300" s="93"/>
      <c r="D300" s="112"/>
      <c r="E300" s="138"/>
      <c r="F300" s="139"/>
      <c r="G300" s="138"/>
      <c r="H300" s="139"/>
      <c r="L300" s="140"/>
      <c r="M300" s="140"/>
      <c r="N300" s="141"/>
      <c r="O300" s="142"/>
    </row>
    <row r="301" spans="1:15" ht="31.8" thickBot="1" x14ac:dyDescent="0.3">
      <c r="A301" s="93"/>
      <c r="B301" s="143" t="s">
        <v>0</v>
      </c>
      <c r="C301" s="144" t="s">
        <v>1</v>
      </c>
      <c r="D301" s="143"/>
      <c r="E301" s="144" t="s">
        <v>198</v>
      </c>
      <c r="F301" s="145" t="s">
        <v>194</v>
      </c>
      <c r="G301" s="144" t="s">
        <v>196</v>
      </c>
      <c r="H301" s="145" t="s">
        <v>9</v>
      </c>
      <c r="I301" s="143" t="s">
        <v>2</v>
      </c>
      <c r="J301" s="77" t="s">
        <v>39</v>
      </c>
      <c r="K301" s="144" t="s">
        <v>13</v>
      </c>
      <c r="L301" s="144" t="s">
        <v>14</v>
      </c>
      <c r="M301" s="146" t="s">
        <v>15</v>
      </c>
      <c r="N301" s="147" t="s">
        <v>11</v>
      </c>
      <c r="O301" s="148" t="s">
        <v>12</v>
      </c>
    </row>
    <row r="302" spans="1:15" ht="15.6" thickBot="1" x14ac:dyDescent="0.3">
      <c r="A302" s="85">
        <v>1</v>
      </c>
      <c r="B302" s="410" t="s">
        <v>17</v>
      </c>
      <c r="C302" s="392">
        <v>601</v>
      </c>
      <c r="D302" s="87" t="s">
        <v>35</v>
      </c>
      <c r="E302" s="88">
        <v>1029.3</v>
      </c>
      <c r="F302" s="171">
        <v>46163</v>
      </c>
      <c r="G302" s="88">
        <v>1029.3</v>
      </c>
      <c r="H302" s="171">
        <v>46197</v>
      </c>
      <c r="I302" s="86">
        <f>G302-E302</f>
        <v>0</v>
      </c>
      <c r="J302" s="86"/>
      <c r="K302" s="86">
        <v>257</v>
      </c>
      <c r="L302" s="382">
        <v>430854.2</v>
      </c>
      <c r="M302" s="90">
        <f t="shared" ref="M302:M308" si="80">I302*K302+J302</f>
        <v>0</v>
      </c>
      <c r="N302" s="91">
        <v>0</v>
      </c>
      <c r="O302" s="92">
        <f t="shared" ref="O302:O303" si="81">M302-N302</f>
        <v>0</v>
      </c>
    </row>
    <row r="303" spans="1:15" ht="15.6" thickBot="1" x14ac:dyDescent="0.3">
      <c r="A303" s="85"/>
      <c r="B303" s="411"/>
      <c r="C303" s="393"/>
      <c r="D303" s="94" t="s">
        <v>36</v>
      </c>
      <c r="E303" s="269">
        <v>3</v>
      </c>
      <c r="F303" s="171">
        <v>46163</v>
      </c>
      <c r="G303" s="269">
        <v>3</v>
      </c>
      <c r="H303" s="171">
        <v>46197</v>
      </c>
      <c r="I303" s="86">
        <f>G303-E303</f>
        <v>0</v>
      </c>
      <c r="J303" s="86">
        <v>0</v>
      </c>
      <c r="K303" s="93">
        <v>1200</v>
      </c>
      <c r="L303" s="383"/>
      <c r="M303" s="267">
        <f t="shared" si="80"/>
        <v>0</v>
      </c>
      <c r="N303" s="98"/>
      <c r="O303" s="92">
        <f t="shared" si="81"/>
        <v>0</v>
      </c>
    </row>
    <row r="304" spans="1:15" ht="15.6" thickBot="1" x14ac:dyDescent="0.3">
      <c r="A304" s="85"/>
      <c r="B304" s="411"/>
      <c r="C304" s="393"/>
      <c r="D304" s="117" t="s">
        <v>37</v>
      </c>
      <c r="E304" s="118"/>
      <c r="F304" s="119"/>
      <c r="G304" s="118"/>
      <c r="H304" s="119"/>
      <c r="I304" s="120">
        <v>1</v>
      </c>
      <c r="J304" s="120"/>
      <c r="K304" s="120">
        <v>15000</v>
      </c>
      <c r="L304" s="383"/>
      <c r="M304" s="90">
        <f t="shared" si="80"/>
        <v>15000</v>
      </c>
      <c r="N304" s="99"/>
      <c r="O304" s="92">
        <f t="shared" ref="O304:O307" si="82">M304+L304-N304</f>
        <v>15000</v>
      </c>
    </row>
    <row r="305" spans="1:15" ht="15.6" thickBot="1" x14ac:dyDescent="0.3">
      <c r="A305" s="85"/>
      <c r="B305" s="411"/>
      <c r="C305" s="393"/>
      <c r="D305" s="94" t="s">
        <v>90</v>
      </c>
      <c r="E305" s="95"/>
      <c r="F305" s="96"/>
      <c r="G305" s="95"/>
      <c r="H305" s="96"/>
      <c r="I305" s="93"/>
      <c r="J305" s="93"/>
      <c r="K305" s="93"/>
      <c r="L305" s="383"/>
      <c r="M305" s="90">
        <f t="shared" si="80"/>
        <v>0</v>
      </c>
      <c r="N305" s="98"/>
      <c r="O305" s="92">
        <f t="shared" si="82"/>
        <v>0</v>
      </c>
    </row>
    <row r="306" spans="1:15" ht="15.6" thickBot="1" x14ac:dyDescent="0.3">
      <c r="A306" s="85"/>
      <c r="B306" s="411"/>
      <c r="C306" s="393"/>
      <c r="D306" s="94" t="s">
        <v>91</v>
      </c>
      <c r="E306" s="95"/>
      <c r="F306" s="96"/>
      <c r="G306" s="95"/>
      <c r="H306" s="96"/>
      <c r="I306" s="93">
        <v>0</v>
      </c>
      <c r="J306" s="93"/>
      <c r="K306" s="93">
        <v>2000</v>
      </c>
      <c r="L306" s="383"/>
      <c r="M306" s="90">
        <f t="shared" si="80"/>
        <v>0</v>
      </c>
      <c r="N306" s="98"/>
      <c r="O306" s="92">
        <f t="shared" si="82"/>
        <v>0</v>
      </c>
    </row>
    <row r="307" spans="1:15" ht="30.6" thickBot="1" x14ac:dyDescent="0.3">
      <c r="A307" s="85"/>
      <c r="B307" s="411"/>
      <c r="C307" s="393"/>
      <c r="D307" s="94" t="s">
        <v>92</v>
      </c>
      <c r="E307" s="95"/>
      <c r="F307" s="96"/>
      <c r="G307" s="95"/>
      <c r="H307" s="96"/>
      <c r="I307" s="93">
        <v>0</v>
      </c>
      <c r="J307" s="93"/>
      <c r="K307" s="93">
        <v>0</v>
      </c>
      <c r="L307" s="383"/>
      <c r="M307" s="90">
        <f t="shared" si="80"/>
        <v>0</v>
      </c>
      <c r="N307" s="98"/>
      <c r="O307" s="92">
        <f t="shared" si="82"/>
        <v>0</v>
      </c>
    </row>
    <row r="308" spans="1:15" x14ac:dyDescent="0.25">
      <c r="A308" s="85"/>
      <c r="B308" s="411"/>
      <c r="C308" s="393"/>
      <c r="D308" s="94" t="s">
        <v>189</v>
      </c>
      <c r="E308" s="95"/>
      <c r="F308" s="96"/>
      <c r="G308" s="95"/>
      <c r="H308" s="96"/>
      <c r="I308" s="93"/>
      <c r="J308" s="93"/>
      <c r="K308" s="93"/>
      <c r="L308" s="384"/>
      <c r="M308" s="90">
        <f t="shared" si="80"/>
        <v>0</v>
      </c>
      <c r="N308" s="98"/>
      <c r="O308" s="92">
        <f>L302</f>
        <v>430854.2</v>
      </c>
    </row>
    <row r="309" spans="1:15" ht="16.2" thickBot="1" x14ac:dyDescent="0.35">
      <c r="A309" s="93"/>
      <c r="B309" s="412"/>
      <c r="C309" s="394"/>
      <c r="D309" s="123" t="s">
        <v>38</v>
      </c>
      <c r="E309" s="124"/>
      <c r="F309" s="125"/>
      <c r="G309" s="124"/>
      <c r="H309" s="125"/>
      <c r="I309" s="126"/>
      <c r="J309" s="126"/>
      <c r="K309" s="126"/>
      <c r="L309" s="127"/>
      <c r="M309" s="127"/>
      <c r="N309" s="128"/>
      <c r="O309" s="107">
        <f>SUM(O302:O308)</f>
        <v>445854.2</v>
      </c>
    </row>
    <row r="310" spans="1:15" ht="31.8" thickBot="1" x14ac:dyDescent="0.3">
      <c r="A310" s="93"/>
      <c r="B310" s="143" t="s">
        <v>0</v>
      </c>
      <c r="C310" s="144" t="s">
        <v>1</v>
      </c>
      <c r="D310" s="143"/>
      <c r="E310" s="144" t="s">
        <v>198</v>
      </c>
      <c r="F310" s="145" t="s">
        <v>194</v>
      </c>
      <c r="G310" s="144" t="s">
        <v>196</v>
      </c>
      <c r="H310" s="145" t="s">
        <v>9</v>
      </c>
      <c r="I310" s="143" t="s">
        <v>2</v>
      </c>
      <c r="J310" s="77" t="s">
        <v>39</v>
      </c>
      <c r="K310" s="144" t="s">
        <v>13</v>
      </c>
      <c r="L310" s="144" t="s">
        <v>14</v>
      </c>
      <c r="M310" s="146" t="s">
        <v>15</v>
      </c>
      <c r="N310" s="147" t="s">
        <v>11</v>
      </c>
      <c r="O310" s="148" t="s">
        <v>12</v>
      </c>
    </row>
    <row r="311" spans="1:15" ht="15.6" thickBot="1" x14ac:dyDescent="0.3">
      <c r="A311" s="85">
        <v>1</v>
      </c>
      <c r="B311" s="405" t="s">
        <v>121</v>
      </c>
      <c r="C311" s="402" t="s">
        <v>122</v>
      </c>
      <c r="D311" s="87" t="s">
        <v>35</v>
      </c>
      <c r="E311" s="88">
        <v>1514.5</v>
      </c>
      <c r="F311" s="171">
        <v>46163</v>
      </c>
      <c r="G311" s="88">
        <v>1544.9</v>
      </c>
      <c r="H311" s="171">
        <v>46197</v>
      </c>
      <c r="I311" s="86">
        <f>G311-E311</f>
        <v>30.400000000000091</v>
      </c>
      <c r="J311" s="86"/>
      <c r="K311" s="86">
        <v>257</v>
      </c>
      <c r="L311" s="382">
        <v>785.8</v>
      </c>
      <c r="M311" s="90">
        <f t="shared" ref="M311:M317" si="83">I311*K311+J311</f>
        <v>7812.8000000000229</v>
      </c>
      <c r="N311" s="91">
        <v>0</v>
      </c>
      <c r="O311" s="92">
        <f t="shared" ref="O311:O312" si="84">M311-N311</f>
        <v>7812.8000000000229</v>
      </c>
    </row>
    <row r="312" spans="1:15" ht="15.6" thickBot="1" x14ac:dyDescent="0.3">
      <c r="A312" s="85"/>
      <c r="B312" s="406"/>
      <c r="C312" s="403"/>
      <c r="D312" s="94" t="s">
        <v>36</v>
      </c>
      <c r="E312" s="95">
        <v>930</v>
      </c>
      <c r="F312" s="171">
        <v>46163</v>
      </c>
      <c r="G312" s="95">
        <v>953</v>
      </c>
      <c r="H312" s="171">
        <v>46197</v>
      </c>
      <c r="I312" s="86">
        <f>G312-E312</f>
        <v>23</v>
      </c>
      <c r="J312" s="86">
        <v>1000</v>
      </c>
      <c r="K312" s="93">
        <v>1200</v>
      </c>
      <c r="L312" s="383"/>
      <c r="M312" s="90">
        <f t="shared" si="83"/>
        <v>28600</v>
      </c>
      <c r="N312" s="98"/>
      <c r="O312" s="92">
        <f t="shared" si="84"/>
        <v>28600</v>
      </c>
    </row>
    <row r="313" spans="1:15" ht="15.6" thickBot="1" x14ac:dyDescent="0.3">
      <c r="A313" s="85"/>
      <c r="B313" s="406"/>
      <c r="C313" s="403"/>
      <c r="D313" s="117" t="s">
        <v>37</v>
      </c>
      <c r="E313" s="118"/>
      <c r="F313" s="119"/>
      <c r="G313" s="118"/>
      <c r="H313" s="119"/>
      <c r="I313" s="120">
        <v>1</v>
      </c>
      <c r="J313" s="120"/>
      <c r="K313" s="120">
        <v>25000</v>
      </c>
      <c r="L313" s="383"/>
      <c r="M313" s="90">
        <f t="shared" si="83"/>
        <v>25000</v>
      </c>
      <c r="N313" s="99"/>
      <c r="O313" s="92">
        <f t="shared" ref="O313:O316" si="85">M313+L313-N313</f>
        <v>25000</v>
      </c>
    </row>
    <row r="314" spans="1:15" ht="15.6" thickBot="1" x14ac:dyDescent="0.3">
      <c r="A314" s="85"/>
      <c r="B314" s="406"/>
      <c r="C314" s="403"/>
      <c r="D314" s="94" t="s">
        <v>90</v>
      </c>
      <c r="E314" s="95"/>
      <c r="F314" s="96"/>
      <c r="G314" s="95"/>
      <c r="H314" s="96"/>
      <c r="I314" s="93"/>
      <c r="J314" s="93"/>
      <c r="K314" s="93">
        <v>0</v>
      </c>
      <c r="L314" s="383"/>
      <c r="M314" s="90">
        <f t="shared" si="83"/>
        <v>0</v>
      </c>
      <c r="N314" s="98"/>
      <c r="O314" s="92">
        <f t="shared" si="85"/>
        <v>0</v>
      </c>
    </row>
    <row r="315" spans="1:15" ht="15.6" thickBot="1" x14ac:dyDescent="0.3">
      <c r="A315" s="85"/>
      <c r="B315" s="406"/>
      <c r="C315" s="403"/>
      <c r="D315" s="94" t="s">
        <v>91</v>
      </c>
      <c r="E315" s="95"/>
      <c r="F315" s="96"/>
      <c r="G315" s="95"/>
      <c r="H315" s="96"/>
      <c r="I315" s="93">
        <v>1</v>
      </c>
      <c r="J315" s="93"/>
      <c r="K315" s="93">
        <v>2000</v>
      </c>
      <c r="L315" s="383"/>
      <c r="M315" s="90">
        <f t="shared" si="83"/>
        <v>2000</v>
      </c>
      <c r="N315" s="98"/>
      <c r="O315" s="92">
        <f t="shared" si="85"/>
        <v>2000</v>
      </c>
    </row>
    <row r="316" spans="1:15" ht="30.6" thickBot="1" x14ac:dyDescent="0.3">
      <c r="A316" s="85"/>
      <c r="B316" s="406"/>
      <c r="C316" s="403"/>
      <c r="D316" s="94" t="s">
        <v>92</v>
      </c>
      <c r="E316" s="95"/>
      <c r="F316" s="96"/>
      <c r="G316" s="95"/>
      <c r="H316" s="96"/>
      <c r="I316" s="93"/>
      <c r="J316" s="93"/>
      <c r="K316" s="93"/>
      <c r="L316" s="383"/>
      <c r="M316" s="90">
        <f t="shared" si="83"/>
        <v>0</v>
      </c>
      <c r="N316" s="98"/>
      <c r="O316" s="92">
        <f t="shared" si="85"/>
        <v>0</v>
      </c>
    </row>
    <row r="317" spans="1:15" x14ac:dyDescent="0.25">
      <c r="A317" s="85"/>
      <c r="B317" s="406"/>
      <c r="C317" s="403"/>
      <c r="D317" s="94" t="s">
        <v>189</v>
      </c>
      <c r="E317" s="95"/>
      <c r="F317" s="96"/>
      <c r="G317" s="95"/>
      <c r="H317" s="96"/>
      <c r="I317" s="93"/>
      <c r="J317" s="93"/>
      <c r="K317" s="93"/>
      <c r="L317" s="384"/>
      <c r="M317" s="90">
        <f t="shared" si="83"/>
        <v>0</v>
      </c>
      <c r="N317" s="98"/>
      <c r="O317" s="92">
        <f>L311</f>
        <v>785.8</v>
      </c>
    </row>
    <row r="318" spans="1:15" ht="16.2" thickBot="1" x14ac:dyDescent="0.35">
      <c r="A318" s="93"/>
      <c r="B318" s="407"/>
      <c r="C318" s="404"/>
      <c r="D318" s="123" t="s">
        <v>38</v>
      </c>
      <c r="E318" s="124"/>
      <c r="F318" s="125"/>
      <c r="G318" s="124"/>
      <c r="H318" s="125"/>
      <c r="I318" s="126"/>
      <c r="J318" s="126"/>
      <c r="K318" s="126"/>
      <c r="L318" s="127"/>
      <c r="M318" s="127"/>
      <c r="N318" s="128"/>
      <c r="O318" s="107">
        <f>SUM(O311:O317)</f>
        <v>64198.600000000028</v>
      </c>
    </row>
    <row r="319" spans="1:15" ht="15.6" x14ac:dyDescent="0.3">
      <c r="A319" s="93"/>
      <c r="B319" s="150"/>
      <c r="C319" s="151"/>
      <c r="D319" s="112"/>
      <c r="E319" s="138"/>
      <c r="F319" s="139"/>
      <c r="G319" s="138"/>
      <c r="H319" s="139"/>
      <c r="L319" s="140"/>
      <c r="M319" s="140"/>
      <c r="N319" s="141"/>
      <c r="O319" s="142"/>
    </row>
    <row r="320" spans="1:15" ht="15.6" x14ac:dyDescent="0.3">
      <c r="A320" s="93"/>
      <c r="B320" s="150"/>
      <c r="C320" s="151"/>
      <c r="D320" s="112"/>
      <c r="E320" s="138"/>
      <c r="F320" s="139"/>
      <c r="G320" s="138"/>
      <c r="H320" s="139"/>
      <c r="L320" s="140"/>
      <c r="M320" s="140"/>
      <c r="N320" s="141"/>
      <c r="O320" s="142"/>
    </row>
    <row r="321" spans="1:15" ht="16.2" thickBot="1" x14ac:dyDescent="0.35">
      <c r="A321" s="93"/>
      <c r="B321" s="93"/>
      <c r="C321" s="93"/>
      <c r="D321" s="112"/>
      <c r="E321" s="138"/>
      <c r="F321" s="139"/>
      <c r="G321" s="138"/>
      <c r="H321" s="139"/>
      <c r="L321" s="140"/>
      <c r="M321" s="140"/>
      <c r="N321" s="141"/>
      <c r="O321" s="142"/>
    </row>
    <row r="322" spans="1:15" ht="31.8" thickBot="1" x14ac:dyDescent="0.3">
      <c r="A322" s="93"/>
      <c r="B322" s="143" t="s">
        <v>0</v>
      </c>
      <c r="C322" s="144" t="s">
        <v>1</v>
      </c>
      <c r="D322" s="143"/>
      <c r="E322" s="144" t="s">
        <v>198</v>
      </c>
      <c r="F322" s="145" t="s">
        <v>194</v>
      </c>
      <c r="G322" s="144" t="s">
        <v>196</v>
      </c>
      <c r="H322" s="145" t="s">
        <v>9</v>
      </c>
      <c r="I322" s="143" t="s">
        <v>2</v>
      </c>
      <c r="J322" s="77" t="s">
        <v>39</v>
      </c>
      <c r="K322" s="144" t="s">
        <v>13</v>
      </c>
      <c r="L322" s="144" t="s">
        <v>14</v>
      </c>
      <c r="M322" s="146" t="s">
        <v>15</v>
      </c>
      <c r="N322" s="147" t="s">
        <v>11</v>
      </c>
      <c r="O322" s="148" t="s">
        <v>12</v>
      </c>
    </row>
    <row r="323" spans="1:15" ht="15.6" thickBot="1" x14ac:dyDescent="0.3">
      <c r="A323" s="85">
        <v>1</v>
      </c>
      <c r="B323" s="405" t="s">
        <v>101</v>
      </c>
      <c r="C323" s="402">
        <v>603</v>
      </c>
      <c r="D323" s="87" t="s">
        <v>35</v>
      </c>
      <c r="E323" s="88">
        <v>644.70000000000005</v>
      </c>
      <c r="F323" s="171">
        <v>46163</v>
      </c>
      <c r="G323" s="88">
        <v>649.20000000000005</v>
      </c>
      <c r="H323" s="171">
        <v>46197</v>
      </c>
      <c r="I323" s="86">
        <f>G323-E323</f>
        <v>4.5</v>
      </c>
      <c r="J323" s="86"/>
      <c r="K323" s="86">
        <v>257</v>
      </c>
      <c r="L323" s="382">
        <v>-53.2</v>
      </c>
      <c r="M323" s="90">
        <f t="shared" ref="M323:M329" si="86">I323*K323+J323</f>
        <v>1156.5</v>
      </c>
      <c r="N323" s="91">
        <v>0</v>
      </c>
      <c r="O323" s="92">
        <f t="shared" ref="O323:O324" si="87">M323-N323</f>
        <v>1156.5</v>
      </c>
    </row>
    <row r="324" spans="1:15" ht="15.6" thickBot="1" x14ac:dyDescent="0.3">
      <c r="A324" s="85"/>
      <c r="B324" s="406"/>
      <c r="C324" s="403"/>
      <c r="D324" s="94" t="s">
        <v>36</v>
      </c>
      <c r="E324" s="95">
        <v>216</v>
      </c>
      <c r="F324" s="171">
        <v>46163</v>
      </c>
      <c r="G324" s="95">
        <v>216</v>
      </c>
      <c r="H324" s="171">
        <v>46197</v>
      </c>
      <c r="I324" s="86">
        <f>G324-E324</f>
        <v>0</v>
      </c>
      <c r="J324" s="86">
        <v>0</v>
      </c>
      <c r="K324" s="93">
        <v>1200</v>
      </c>
      <c r="L324" s="383"/>
      <c r="M324" s="90">
        <f t="shared" si="86"/>
        <v>0</v>
      </c>
      <c r="N324" s="98"/>
      <c r="O324" s="92">
        <f t="shared" si="87"/>
        <v>0</v>
      </c>
    </row>
    <row r="325" spans="1:15" ht="15.6" thickBot="1" x14ac:dyDescent="0.3">
      <c r="A325" s="85"/>
      <c r="B325" s="406"/>
      <c r="C325" s="403"/>
      <c r="D325" s="117" t="s">
        <v>37</v>
      </c>
      <c r="E325" s="118"/>
      <c r="F325" s="119"/>
      <c r="G325" s="118"/>
      <c r="H325" s="119"/>
      <c r="I325" s="120">
        <v>1</v>
      </c>
      <c r="J325" s="120"/>
      <c r="K325" s="120">
        <v>15000</v>
      </c>
      <c r="L325" s="383"/>
      <c r="M325" s="90">
        <f t="shared" si="86"/>
        <v>15000</v>
      </c>
      <c r="N325" s="99"/>
      <c r="O325" s="92">
        <f t="shared" ref="O325:O328" si="88">M325+L325-N325</f>
        <v>15000</v>
      </c>
    </row>
    <row r="326" spans="1:15" ht="15.6" thickBot="1" x14ac:dyDescent="0.3">
      <c r="A326" s="85"/>
      <c r="B326" s="406"/>
      <c r="C326" s="403"/>
      <c r="D326" s="94" t="s">
        <v>90</v>
      </c>
      <c r="E326" s="95"/>
      <c r="F326" s="96"/>
      <c r="G326" s="95"/>
      <c r="H326" s="96"/>
      <c r="I326" s="93"/>
      <c r="J326" s="93"/>
      <c r="K326" s="93">
        <v>0</v>
      </c>
      <c r="L326" s="383"/>
      <c r="M326" s="90">
        <f t="shared" si="86"/>
        <v>0</v>
      </c>
      <c r="N326" s="98"/>
      <c r="O326" s="92">
        <f t="shared" si="88"/>
        <v>0</v>
      </c>
    </row>
    <row r="327" spans="1:15" ht="15.6" thickBot="1" x14ac:dyDescent="0.3">
      <c r="A327" s="85"/>
      <c r="B327" s="406"/>
      <c r="C327" s="403"/>
      <c r="D327" s="94" t="s">
        <v>91</v>
      </c>
      <c r="E327" s="95"/>
      <c r="F327" s="96"/>
      <c r="G327" s="95"/>
      <c r="H327" s="96"/>
      <c r="I327" s="93">
        <v>0</v>
      </c>
      <c r="J327" s="93"/>
      <c r="K327" s="93">
        <v>2000</v>
      </c>
      <c r="L327" s="383"/>
      <c r="M327" s="90">
        <f t="shared" si="86"/>
        <v>0</v>
      </c>
      <c r="N327" s="98"/>
      <c r="O327" s="92">
        <f t="shared" si="88"/>
        <v>0</v>
      </c>
    </row>
    <row r="328" spans="1:15" ht="30.6" thickBot="1" x14ac:dyDescent="0.3">
      <c r="A328" s="85"/>
      <c r="B328" s="406"/>
      <c r="C328" s="403"/>
      <c r="D328" s="94" t="s">
        <v>92</v>
      </c>
      <c r="E328" s="95"/>
      <c r="F328" s="96"/>
      <c r="G328" s="95"/>
      <c r="H328" s="96"/>
      <c r="I328" s="93"/>
      <c r="J328" s="93"/>
      <c r="K328" s="93"/>
      <c r="L328" s="383"/>
      <c r="M328" s="90">
        <f t="shared" si="86"/>
        <v>0</v>
      </c>
      <c r="N328" s="98"/>
      <c r="O328" s="92">
        <f t="shared" si="88"/>
        <v>0</v>
      </c>
    </row>
    <row r="329" spans="1:15" x14ac:dyDescent="0.25">
      <c r="A329" s="85"/>
      <c r="B329" s="406"/>
      <c r="C329" s="403"/>
      <c r="D329" s="94" t="s">
        <v>189</v>
      </c>
      <c r="E329" s="95"/>
      <c r="F329" s="96"/>
      <c r="G329" s="95"/>
      <c r="H329" s="96"/>
      <c r="I329" s="93"/>
      <c r="J329" s="93"/>
      <c r="K329" s="93"/>
      <c r="L329" s="384"/>
      <c r="M329" s="90">
        <f t="shared" si="86"/>
        <v>0</v>
      </c>
      <c r="N329" s="98"/>
      <c r="O329" s="92">
        <f>L323</f>
        <v>-53.2</v>
      </c>
    </row>
    <row r="330" spans="1:15" ht="16.2" thickBot="1" x14ac:dyDescent="0.35">
      <c r="A330" s="93"/>
      <c r="B330" s="407"/>
      <c r="C330" s="404"/>
      <c r="D330" s="123" t="s">
        <v>38</v>
      </c>
      <c r="E330" s="124"/>
      <c r="F330" s="125"/>
      <c r="G330" s="124"/>
      <c r="H330" s="125"/>
      <c r="I330" s="126"/>
      <c r="J330" s="126"/>
      <c r="K330" s="126"/>
      <c r="L330" s="127"/>
      <c r="M330" s="127"/>
      <c r="N330" s="128"/>
      <c r="O330" s="107">
        <f>SUM(O323:O329)</f>
        <v>16103.3</v>
      </c>
    </row>
    <row r="331" spans="1:15" ht="15.6" x14ac:dyDescent="0.3">
      <c r="A331" s="93"/>
      <c r="B331" s="150"/>
      <c r="C331" s="151"/>
      <c r="D331" s="112"/>
      <c r="E331" s="138"/>
      <c r="F331" s="139"/>
      <c r="G331" s="138"/>
      <c r="H331" s="139"/>
      <c r="L331" s="140"/>
      <c r="M331" s="140"/>
      <c r="N331" s="141"/>
      <c r="O331" s="142"/>
    </row>
    <row r="332" spans="1:15" ht="16.2" thickBot="1" x14ac:dyDescent="0.35">
      <c r="A332" s="93"/>
      <c r="B332" s="150"/>
      <c r="C332" s="151"/>
      <c r="D332" s="112"/>
      <c r="E332" s="138"/>
      <c r="F332" s="139"/>
      <c r="G332" s="138"/>
      <c r="H332" s="139"/>
      <c r="L332" s="140"/>
      <c r="M332" s="140"/>
      <c r="N332" s="141"/>
      <c r="O332" s="142"/>
    </row>
    <row r="333" spans="1:15" ht="31.8" thickBot="1" x14ac:dyDescent="0.3">
      <c r="A333" s="93"/>
      <c r="B333" s="143" t="s">
        <v>0</v>
      </c>
      <c r="C333" s="144" t="s">
        <v>1</v>
      </c>
      <c r="D333" s="143"/>
      <c r="E333" s="144" t="s">
        <v>198</v>
      </c>
      <c r="F333" s="145" t="s">
        <v>194</v>
      </c>
      <c r="G333" s="144" t="s">
        <v>196</v>
      </c>
      <c r="H333" s="145" t="s">
        <v>9</v>
      </c>
      <c r="I333" s="143" t="s">
        <v>2</v>
      </c>
      <c r="J333" s="77" t="s">
        <v>39</v>
      </c>
      <c r="K333" s="144" t="s">
        <v>13</v>
      </c>
      <c r="L333" s="144" t="s">
        <v>14</v>
      </c>
      <c r="M333" s="146" t="s">
        <v>15</v>
      </c>
      <c r="N333" s="147" t="s">
        <v>11</v>
      </c>
      <c r="O333" s="148" t="s">
        <v>12</v>
      </c>
    </row>
    <row r="334" spans="1:15" ht="15.6" thickBot="1" x14ac:dyDescent="0.3">
      <c r="A334" s="85">
        <v>1</v>
      </c>
      <c r="B334" s="405" t="s">
        <v>101</v>
      </c>
      <c r="C334" s="402">
        <v>604</v>
      </c>
      <c r="D334" s="87" t="s">
        <v>35</v>
      </c>
      <c r="E334" s="88">
        <v>1888.6</v>
      </c>
      <c r="F334" s="171">
        <v>46163</v>
      </c>
      <c r="G334" s="88">
        <v>2184.6999999999998</v>
      </c>
      <c r="H334" s="171">
        <v>46197</v>
      </c>
      <c r="I334" s="343">
        <f>G334-E334</f>
        <v>296.09999999999991</v>
      </c>
      <c r="J334" s="86"/>
      <c r="K334" s="86">
        <v>257</v>
      </c>
      <c r="L334" s="382">
        <v>-6152.5</v>
      </c>
      <c r="M334" s="90">
        <f t="shared" ref="M334:M340" si="89">I334*K334+J334</f>
        <v>76097.699999999983</v>
      </c>
      <c r="N334" s="91">
        <v>0</v>
      </c>
      <c r="O334" s="92">
        <f t="shared" ref="O334:O335" si="90">M334-N334</f>
        <v>76097.699999999983</v>
      </c>
    </row>
    <row r="335" spans="1:15" ht="15.6" thickBot="1" x14ac:dyDescent="0.3">
      <c r="A335" s="85"/>
      <c r="B335" s="406"/>
      <c r="C335" s="403"/>
      <c r="D335" s="94" t="s">
        <v>36</v>
      </c>
      <c r="E335" s="95">
        <v>241</v>
      </c>
      <c r="F335" s="171">
        <v>46163</v>
      </c>
      <c r="G335" s="95">
        <v>276</v>
      </c>
      <c r="H335" s="171">
        <v>46197</v>
      </c>
      <c r="I335" s="86">
        <f>G335-E335</f>
        <v>35</v>
      </c>
      <c r="J335" s="86">
        <v>1000</v>
      </c>
      <c r="K335" s="93">
        <v>1200</v>
      </c>
      <c r="L335" s="383"/>
      <c r="M335" s="90">
        <f t="shared" si="89"/>
        <v>43000</v>
      </c>
      <c r="N335" s="98"/>
      <c r="O335" s="92">
        <f t="shared" si="90"/>
        <v>43000</v>
      </c>
    </row>
    <row r="336" spans="1:15" ht="15.6" thickBot="1" x14ac:dyDescent="0.3">
      <c r="A336" s="85"/>
      <c r="B336" s="406"/>
      <c r="C336" s="403"/>
      <c r="D336" s="117" t="s">
        <v>37</v>
      </c>
      <c r="E336" s="118"/>
      <c r="F336" s="119"/>
      <c r="G336" s="118"/>
      <c r="H336" s="119"/>
      <c r="I336" s="120">
        <v>1</v>
      </c>
      <c r="J336" s="120"/>
      <c r="K336" s="120">
        <v>25000</v>
      </c>
      <c r="L336" s="383"/>
      <c r="M336" s="90">
        <f t="shared" si="89"/>
        <v>25000</v>
      </c>
      <c r="N336" s="99"/>
      <c r="O336" s="92">
        <f t="shared" ref="O336:O338" si="91">M336+L336-N336</f>
        <v>25000</v>
      </c>
    </row>
    <row r="337" spans="1:15" ht="15.6" thickBot="1" x14ac:dyDescent="0.3">
      <c r="A337" s="85"/>
      <c r="B337" s="406"/>
      <c r="C337" s="403"/>
      <c r="D337" s="94" t="s">
        <v>90</v>
      </c>
      <c r="E337" s="95"/>
      <c r="F337" s="96"/>
      <c r="G337" s="95"/>
      <c r="H337" s="96"/>
      <c r="I337" s="93"/>
      <c r="J337" s="93"/>
      <c r="K337" s="93">
        <v>0</v>
      </c>
      <c r="L337" s="383"/>
      <c r="M337" s="90">
        <f t="shared" si="89"/>
        <v>0</v>
      </c>
      <c r="N337" s="98"/>
      <c r="O337" s="92">
        <f t="shared" si="91"/>
        <v>0</v>
      </c>
    </row>
    <row r="338" spans="1:15" ht="15.6" thickBot="1" x14ac:dyDescent="0.3">
      <c r="A338" s="85"/>
      <c r="B338" s="406"/>
      <c r="C338" s="403"/>
      <c r="D338" s="94" t="s">
        <v>91</v>
      </c>
      <c r="E338" s="95"/>
      <c r="F338" s="96"/>
      <c r="G338" s="95"/>
      <c r="H338" s="96"/>
      <c r="I338" s="93">
        <v>1</v>
      </c>
      <c r="J338" s="93"/>
      <c r="K338" s="93">
        <v>2000</v>
      </c>
      <c r="L338" s="383"/>
      <c r="M338" s="90">
        <f t="shared" si="89"/>
        <v>2000</v>
      </c>
      <c r="N338" s="98"/>
      <c r="O338" s="92">
        <f t="shared" si="91"/>
        <v>2000</v>
      </c>
    </row>
    <row r="339" spans="1:15" ht="30.6" thickBot="1" x14ac:dyDescent="0.3">
      <c r="A339" s="85"/>
      <c r="B339" s="406"/>
      <c r="C339" s="403"/>
      <c r="D339" s="94" t="s">
        <v>92</v>
      </c>
      <c r="E339" s="95"/>
      <c r="F339" s="96"/>
      <c r="G339" s="95"/>
      <c r="H339" s="96"/>
      <c r="I339" s="93"/>
      <c r="J339" s="93"/>
      <c r="K339" s="93"/>
      <c r="L339" s="383"/>
      <c r="M339" s="90"/>
      <c r="N339" s="98"/>
      <c r="O339" s="92"/>
    </row>
    <row r="340" spans="1:15" x14ac:dyDescent="0.25">
      <c r="A340" s="85"/>
      <c r="B340" s="406"/>
      <c r="C340" s="403"/>
      <c r="D340" s="94" t="s">
        <v>189</v>
      </c>
      <c r="E340" s="95"/>
      <c r="F340" s="96"/>
      <c r="G340" s="95"/>
      <c r="H340" s="96"/>
      <c r="I340" s="93"/>
      <c r="J340" s="93"/>
      <c r="K340" s="93"/>
      <c r="L340" s="383"/>
      <c r="M340" s="90">
        <f t="shared" si="89"/>
        <v>0</v>
      </c>
      <c r="N340" s="98"/>
      <c r="O340" s="92">
        <f>L334</f>
        <v>-6152.5</v>
      </c>
    </row>
    <row r="341" spans="1:15" ht="16.2" thickBot="1" x14ac:dyDescent="0.35">
      <c r="A341" s="93"/>
      <c r="B341" s="407"/>
      <c r="C341" s="404"/>
      <c r="D341" s="123" t="s">
        <v>38</v>
      </c>
      <c r="E341" s="124"/>
      <c r="F341" s="125"/>
      <c r="G341" s="124"/>
      <c r="H341" s="125"/>
      <c r="I341" s="126"/>
      <c r="J341" s="126"/>
      <c r="K341" s="126"/>
      <c r="L341" s="127"/>
      <c r="M341" s="127"/>
      <c r="N341" s="128"/>
      <c r="O341" s="107">
        <f>SUM(O334:O340)</f>
        <v>139945.19999999998</v>
      </c>
    </row>
    <row r="342" spans="1:15" ht="31.8" thickBot="1" x14ac:dyDescent="0.3">
      <c r="A342" s="93"/>
      <c r="B342" s="143" t="s">
        <v>0</v>
      </c>
      <c r="C342" s="144" t="s">
        <v>1</v>
      </c>
      <c r="D342" s="143"/>
      <c r="E342" s="144" t="s">
        <v>198</v>
      </c>
      <c r="F342" s="145" t="s">
        <v>194</v>
      </c>
      <c r="G342" s="144" t="s">
        <v>196</v>
      </c>
      <c r="H342" s="145" t="s">
        <v>9</v>
      </c>
      <c r="I342" s="143" t="s">
        <v>2</v>
      </c>
      <c r="J342" s="77" t="s">
        <v>39</v>
      </c>
      <c r="K342" s="144" t="s">
        <v>13</v>
      </c>
      <c r="L342" s="144" t="s">
        <v>14</v>
      </c>
      <c r="M342" s="146" t="s">
        <v>15</v>
      </c>
      <c r="N342" s="147" t="s">
        <v>11</v>
      </c>
      <c r="O342" s="148" t="s">
        <v>12</v>
      </c>
    </row>
    <row r="343" spans="1:15" ht="15.6" thickBot="1" x14ac:dyDescent="0.3">
      <c r="A343" s="85">
        <v>1</v>
      </c>
      <c r="B343" s="405" t="s">
        <v>123</v>
      </c>
      <c r="C343" s="402" t="s">
        <v>124</v>
      </c>
      <c r="D343" s="87" t="s">
        <v>35</v>
      </c>
      <c r="E343" s="88">
        <v>4382</v>
      </c>
      <c r="F343" s="171">
        <v>46163</v>
      </c>
      <c r="G343" s="88">
        <v>4543.8</v>
      </c>
      <c r="H343" s="171">
        <v>46197</v>
      </c>
      <c r="I343" s="86">
        <f>G343-E343</f>
        <v>161.80000000000018</v>
      </c>
      <c r="J343" s="86"/>
      <c r="K343" s="86">
        <v>257</v>
      </c>
      <c r="L343" s="382">
        <v>-76</v>
      </c>
      <c r="M343" s="90">
        <f t="shared" ref="M343:M349" si="92">I343*K343+J343</f>
        <v>41582.600000000049</v>
      </c>
      <c r="N343" s="91">
        <v>0</v>
      </c>
      <c r="O343" s="92">
        <f t="shared" ref="O343:O344" si="93">M343-N343</f>
        <v>41582.600000000049</v>
      </c>
    </row>
    <row r="344" spans="1:15" ht="15.6" thickBot="1" x14ac:dyDescent="0.3">
      <c r="A344" s="85"/>
      <c r="B344" s="406"/>
      <c r="C344" s="403"/>
      <c r="D344" s="94" t="s">
        <v>36</v>
      </c>
      <c r="E344" s="95">
        <v>476</v>
      </c>
      <c r="F344" s="171">
        <v>46163</v>
      </c>
      <c r="G344" s="95">
        <v>493</v>
      </c>
      <c r="H344" s="171">
        <v>46197</v>
      </c>
      <c r="I344" s="86">
        <f>G344-E344</f>
        <v>17</v>
      </c>
      <c r="J344" s="86">
        <v>1000</v>
      </c>
      <c r="K344" s="93">
        <v>1200</v>
      </c>
      <c r="L344" s="383"/>
      <c r="M344" s="90">
        <f t="shared" si="92"/>
        <v>21400</v>
      </c>
      <c r="N344" s="98"/>
      <c r="O344" s="92">
        <f t="shared" si="93"/>
        <v>21400</v>
      </c>
    </row>
    <row r="345" spans="1:15" ht="15.6" thickBot="1" x14ac:dyDescent="0.3">
      <c r="A345" s="85"/>
      <c r="B345" s="406"/>
      <c r="C345" s="403"/>
      <c r="D345" s="117" t="s">
        <v>37</v>
      </c>
      <c r="E345" s="118"/>
      <c r="F345" s="119"/>
      <c r="G345" s="118"/>
      <c r="H345" s="119"/>
      <c r="I345" s="120">
        <v>1</v>
      </c>
      <c r="J345" s="120"/>
      <c r="K345" s="120">
        <v>25000</v>
      </c>
      <c r="L345" s="383"/>
      <c r="M345" s="90">
        <f t="shared" si="92"/>
        <v>25000</v>
      </c>
      <c r="N345" s="99"/>
      <c r="O345" s="92">
        <f t="shared" ref="O345:O348" si="94">M345+L345-N345</f>
        <v>25000</v>
      </c>
    </row>
    <row r="346" spans="1:15" ht="15.6" thickBot="1" x14ac:dyDescent="0.3">
      <c r="A346" s="85"/>
      <c r="B346" s="406"/>
      <c r="C346" s="403"/>
      <c r="D346" s="94" t="s">
        <v>90</v>
      </c>
      <c r="E346" s="95"/>
      <c r="F346" s="96"/>
      <c r="G346" s="95"/>
      <c r="H346" s="96"/>
      <c r="I346" s="93"/>
      <c r="J346" s="93"/>
      <c r="K346" s="93">
        <v>0</v>
      </c>
      <c r="L346" s="383"/>
      <c r="M346" s="90">
        <f t="shared" si="92"/>
        <v>0</v>
      </c>
      <c r="N346" s="98"/>
      <c r="O346" s="92">
        <f t="shared" si="94"/>
        <v>0</v>
      </c>
    </row>
    <row r="347" spans="1:15" ht="15.6" thickBot="1" x14ac:dyDescent="0.3">
      <c r="A347" s="85"/>
      <c r="B347" s="406"/>
      <c r="C347" s="403"/>
      <c r="D347" s="94" t="s">
        <v>91</v>
      </c>
      <c r="E347" s="95"/>
      <c r="F347" s="96"/>
      <c r="G347" s="95"/>
      <c r="H347" s="96"/>
      <c r="I347" s="93">
        <v>1</v>
      </c>
      <c r="J347" s="93"/>
      <c r="K347" s="93">
        <v>2000</v>
      </c>
      <c r="L347" s="383"/>
      <c r="M347" s="90">
        <f t="shared" si="92"/>
        <v>2000</v>
      </c>
      <c r="N347" s="98"/>
      <c r="O347" s="92">
        <f t="shared" si="94"/>
        <v>2000</v>
      </c>
    </row>
    <row r="348" spans="1:15" ht="30.6" thickBot="1" x14ac:dyDescent="0.3">
      <c r="A348" s="85"/>
      <c r="B348" s="406"/>
      <c r="C348" s="403"/>
      <c r="D348" s="94" t="s">
        <v>92</v>
      </c>
      <c r="E348" s="95"/>
      <c r="F348" s="96"/>
      <c r="G348" s="95"/>
      <c r="H348" s="96"/>
      <c r="I348" s="93">
        <v>0</v>
      </c>
      <c r="J348" s="93"/>
      <c r="K348" s="93">
        <v>0</v>
      </c>
      <c r="L348" s="383"/>
      <c r="M348" s="90">
        <f t="shared" si="92"/>
        <v>0</v>
      </c>
      <c r="N348" s="98"/>
      <c r="O348" s="92">
        <f t="shared" si="94"/>
        <v>0</v>
      </c>
    </row>
    <row r="349" spans="1:15" x14ac:dyDescent="0.25">
      <c r="A349" s="85"/>
      <c r="B349" s="406"/>
      <c r="C349" s="403"/>
      <c r="D349" s="94" t="s">
        <v>189</v>
      </c>
      <c r="E349" s="95"/>
      <c r="F349" s="96"/>
      <c r="G349" s="95"/>
      <c r="H349" s="96"/>
      <c r="I349" s="93">
        <v>0</v>
      </c>
      <c r="J349" s="93">
        <v>0</v>
      </c>
      <c r="K349" s="93"/>
      <c r="L349" s="384"/>
      <c r="M349" s="90">
        <f t="shared" si="92"/>
        <v>0</v>
      </c>
      <c r="N349" s="98"/>
      <c r="O349" s="92">
        <f>L343</f>
        <v>-76</v>
      </c>
    </row>
    <row r="350" spans="1:15" x14ac:dyDescent="0.25">
      <c r="A350" s="153"/>
      <c r="B350" s="406"/>
      <c r="C350" s="403"/>
      <c r="D350" s="319"/>
      <c r="E350" s="138"/>
      <c r="F350" s="139"/>
      <c r="G350" s="138"/>
      <c r="H350" s="139"/>
      <c r="L350" s="140"/>
      <c r="M350" s="140"/>
      <c r="N350" s="141"/>
      <c r="O350" s="320"/>
    </row>
    <row r="351" spans="1:15" x14ac:dyDescent="0.25">
      <c r="A351" s="153"/>
      <c r="B351" s="406"/>
      <c r="C351" s="403"/>
      <c r="D351" s="319"/>
      <c r="E351" s="138"/>
      <c r="F351" s="139"/>
      <c r="G351" s="138"/>
      <c r="H351" s="139"/>
      <c r="L351" s="140"/>
      <c r="M351" s="140"/>
      <c r="N351" s="141"/>
      <c r="O351" s="320"/>
    </row>
    <row r="352" spans="1:15" ht="16.2" thickBot="1" x14ac:dyDescent="0.35">
      <c r="A352" s="93"/>
      <c r="B352" s="407"/>
      <c r="C352" s="404"/>
      <c r="D352" s="123" t="s">
        <v>38</v>
      </c>
      <c r="E352" s="124"/>
      <c r="F352" s="125"/>
      <c r="G352" s="124"/>
      <c r="H352" s="125"/>
      <c r="I352" s="126"/>
      <c r="J352" s="126"/>
      <c r="K352" s="126"/>
      <c r="L352" s="127"/>
      <c r="M352" s="127"/>
      <c r="N352" s="128"/>
      <c r="O352" s="107">
        <f>SUM(O343:O349)</f>
        <v>89906.600000000049</v>
      </c>
    </row>
    <row r="353" spans="1:15" ht="31.8" thickBot="1" x14ac:dyDescent="0.3">
      <c r="A353" s="93"/>
      <c r="B353" s="143" t="s">
        <v>0</v>
      </c>
      <c r="C353" s="144" t="s">
        <v>1</v>
      </c>
      <c r="D353" s="143"/>
      <c r="E353" s="144" t="s">
        <v>198</v>
      </c>
      <c r="F353" s="145" t="s">
        <v>194</v>
      </c>
      <c r="G353" s="144" t="s">
        <v>196</v>
      </c>
      <c r="H353" s="145" t="s">
        <v>9</v>
      </c>
      <c r="I353" s="143" t="s">
        <v>2</v>
      </c>
      <c r="J353" s="77" t="s">
        <v>39</v>
      </c>
      <c r="K353" s="144" t="s">
        <v>13</v>
      </c>
      <c r="L353" s="144" t="s">
        <v>14</v>
      </c>
      <c r="M353" s="146" t="s">
        <v>15</v>
      </c>
      <c r="N353" s="147" t="s">
        <v>11</v>
      </c>
      <c r="O353" s="148" t="s">
        <v>12</v>
      </c>
    </row>
    <row r="354" spans="1:15" ht="15.6" thickBot="1" x14ac:dyDescent="0.3">
      <c r="A354" s="85">
        <v>1</v>
      </c>
      <c r="B354" s="405" t="s">
        <v>125</v>
      </c>
      <c r="C354" s="402">
        <v>606</v>
      </c>
      <c r="D354" s="87" t="s">
        <v>35</v>
      </c>
      <c r="E354" s="88">
        <v>2245.3000000000002</v>
      </c>
      <c r="F354" s="171">
        <v>46163</v>
      </c>
      <c r="G354" s="88">
        <v>2245.3000000000002</v>
      </c>
      <c r="H354" s="171">
        <v>46197</v>
      </c>
      <c r="I354" s="86">
        <f>G354-E354</f>
        <v>0</v>
      </c>
      <c r="J354" s="86"/>
      <c r="K354" s="86">
        <v>257</v>
      </c>
      <c r="L354" s="382">
        <v>-186.3</v>
      </c>
      <c r="M354" s="90">
        <f t="shared" ref="M354:M360" si="95">I354*K354+J354</f>
        <v>0</v>
      </c>
      <c r="N354" s="91">
        <v>0</v>
      </c>
      <c r="O354" s="92">
        <f t="shared" ref="O354:O355" si="96">M354-N354</f>
        <v>0</v>
      </c>
    </row>
    <row r="355" spans="1:15" ht="15.6" thickBot="1" x14ac:dyDescent="0.3">
      <c r="A355" s="85"/>
      <c r="B355" s="406"/>
      <c r="C355" s="403"/>
      <c r="D355" s="94" t="s">
        <v>36</v>
      </c>
      <c r="E355" s="95">
        <v>100</v>
      </c>
      <c r="F355" s="171">
        <v>46163</v>
      </c>
      <c r="G355" s="95">
        <v>100</v>
      </c>
      <c r="H355" s="171">
        <v>46197</v>
      </c>
      <c r="I355" s="86">
        <f>G355-E355</f>
        <v>0</v>
      </c>
      <c r="J355" s="86">
        <v>0</v>
      </c>
      <c r="K355" s="93">
        <v>1200</v>
      </c>
      <c r="L355" s="383"/>
      <c r="M355" s="267">
        <f t="shared" si="95"/>
        <v>0</v>
      </c>
      <c r="N355" s="98"/>
      <c r="O355" s="92">
        <f t="shared" si="96"/>
        <v>0</v>
      </c>
    </row>
    <row r="356" spans="1:15" ht="15.6" thickBot="1" x14ac:dyDescent="0.3">
      <c r="A356" s="85"/>
      <c r="B356" s="406"/>
      <c r="C356" s="403"/>
      <c r="D356" s="117" t="s">
        <v>37</v>
      </c>
      <c r="E356" s="118"/>
      <c r="F356" s="119"/>
      <c r="G356" s="118"/>
      <c r="H356" s="119"/>
      <c r="I356" s="120">
        <v>1</v>
      </c>
      <c r="J356" s="120"/>
      <c r="K356" s="120">
        <v>15000</v>
      </c>
      <c r="L356" s="383"/>
      <c r="M356" s="90">
        <f t="shared" si="95"/>
        <v>15000</v>
      </c>
      <c r="N356" s="99"/>
      <c r="O356" s="92">
        <f t="shared" ref="O356:O359" si="97">M356+L356-N356</f>
        <v>15000</v>
      </c>
    </row>
    <row r="357" spans="1:15" ht="15.6" thickBot="1" x14ac:dyDescent="0.3">
      <c r="A357" s="85"/>
      <c r="B357" s="406"/>
      <c r="C357" s="403"/>
      <c r="D357" s="94" t="s">
        <v>90</v>
      </c>
      <c r="E357" s="95"/>
      <c r="F357" s="96"/>
      <c r="G357" s="95"/>
      <c r="H357" s="96"/>
      <c r="I357" s="93"/>
      <c r="J357" s="93"/>
      <c r="K357" s="93">
        <v>0</v>
      </c>
      <c r="L357" s="383"/>
      <c r="M357" s="90">
        <f t="shared" si="95"/>
        <v>0</v>
      </c>
      <c r="N357" s="98"/>
      <c r="O357" s="92">
        <f t="shared" si="97"/>
        <v>0</v>
      </c>
    </row>
    <row r="358" spans="1:15" ht="15.6" thickBot="1" x14ac:dyDescent="0.3">
      <c r="A358" s="85"/>
      <c r="B358" s="406"/>
      <c r="C358" s="403"/>
      <c r="D358" s="94" t="s">
        <v>91</v>
      </c>
      <c r="E358" s="95"/>
      <c r="F358" s="96"/>
      <c r="G358" s="95"/>
      <c r="H358" s="96"/>
      <c r="I358" s="93">
        <v>0</v>
      </c>
      <c r="J358" s="93"/>
      <c r="K358" s="93">
        <v>2000</v>
      </c>
      <c r="L358" s="383"/>
      <c r="M358" s="90">
        <f t="shared" si="95"/>
        <v>0</v>
      </c>
      <c r="N358" s="98"/>
      <c r="O358" s="92">
        <f t="shared" si="97"/>
        <v>0</v>
      </c>
    </row>
    <row r="359" spans="1:15" ht="30.6" thickBot="1" x14ac:dyDescent="0.3">
      <c r="A359" s="85"/>
      <c r="B359" s="406"/>
      <c r="C359" s="403"/>
      <c r="D359" s="94" t="s">
        <v>92</v>
      </c>
      <c r="E359" s="95"/>
      <c r="F359" s="96"/>
      <c r="G359" s="95"/>
      <c r="H359" s="96"/>
      <c r="I359" s="93">
        <v>0</v>
      </c>
      <c r="J359" s="93"/>
      <c r="K359" s="93">
        <v>0</v>
      </c>
      <c r="L359" s="383"/>
      <c r="M359" s="90">
        <f t="shared" si="95"/>
        <v>0</v>
      </c>
      <c r="N359" s="98"/>
      <c r="O359" s="92">
        <f t="shared" si="97"/>
        <v>0</v>
      </c>
    </row>
    <row r="360" spans="1:15" x14ac:dyDescent="0.25">
      <c r="A360" s="85"/>
      <c r="B360" s="406"/>
      <c r="C360" s="403"/>
      <c r="D360" s="94" t="s">
        <v>189</v>
      </c>
      <c r="E360" s="95"/>
      <c r="F360" s="96"/>
      <c r="G360" s="95"/>
      <c r="H360" s="96"/>
      <c r="I360" s="93"/>
      <c r="J360" s="93"/>
      <c r="K360" s="93"/>
      <c r="L360" s="384"/>
      <c r="M360" s="90">
        <f t="shared" si="95"/>
        <v>0</v>
      </c>
      <c r="N360" s="98"/>
      <c r="O360" s="92">
        <f>L354</f>
        <v>-186.3</v>
      </c>
    </row>
    <row r="361" spans="1:15" ht="16.2" thickBot="1" x14ac:dyDescent="0.35">
      <c r="A361" s="93"/>
      <c r="B361" s="407"/>
      <c r="C361" s="404"/>
      <c r="D361" s="123" t="s">
        <v>38</v>
      </c>
      <c r="E361" s="124"/>
      <c r="F361" s="125"/>
      <c r="G361" s="124"/>
      <c r="H361" s="125"/>
      <c r="I361" s="126"/>
      <c r="J361" s="126"/>
      <c r="K361" s="126"/>
      <c r="L361" s="127"/>
      <c r="M361" s="127"/>
      <c r="N361" s="128"/>
      <c r="O361" s="107">
        <f>SUM(O354:O360)</f>
        <v>14813.7</v>
      </c>
    </row>
    <row r="362" spans="1:15" ht="15.6" x14ac:dyDescent="0.3">
      <c r="A362" s="93"/>
      <c r="B362" s="150"/>
      <c r="C362" s="151"/>
      <c r="D362" s="112"/>
      <c r="E362" s="138"/>
      <c r="F362" s="139"/>
      <c r="G362" s="138"/>
      <c r="H362" s="139"/>
      <c r="L362" s="140"/>
      <c r="M362" s="140"/>
      <c r="N362" s="141"/>
      <c r="O362" s="142"/>
    </row>
    <row r="363" spans="1:15" ht="15.6" x14ac:dyDescent="0.3">
      <c r="A363" s="93"/>
      <c r="B363" s="150"/>
      <c r="C363" s="151"/>
      <c r="D363" s="112"/>
      <c r="E363" s="138"/>
      <c r="F363" s="139"/>
      <c r="G363" s="138"/>
      <c r="H363" s="139"/>
      <c r="L363" s="140"/>
      <c r="M363" s="140"/>
      <c r="N363" s="141"/>
      <c r="O363" s="142"/>
    </row>
    <row r="364" spans="1:15" ht="15.6" x14ac:dyDescent="0.3">
      <c r="A364" s="93"/>
      <c r="B364" s="150"/>
      <c r="C364" s="151"/>
      <c r="D364" s="112"/>
      <c r="E364" s="138"/>
      <c r="F364" s="139"/>
      <c r="G364" s="138"/>
      <c r="H364" s="139"/>
      <c r="L364" s="140"/>
      <c r="M364" s="140"/>
      <c r="N364" s="141"/>
      <c r="O364" s="142"/>
    </row>
    <row r="365" spans="1:15" ht="15.6" x14ac:dyDescent="0.3">
      <c r="A365" s="93"/>
      <c r="B365" s="150"/>
      <c r="C365" s="151"/>
      <c r="D365" s="112"/>
      <c r="E365" s="138"/>
      <c r="F365" s="139"/>
      <c r="G365" s="138"/>
      <c r="H365" s="139"/>
      <c r="L365" s="140"/>
      <c r="M365" s="140"/>
      <c r="N365" s="141"/>
      <c r="O365" s="142"/>
    </row>
    <row r="366" spans="1:15" ht="15.6" x14ac:dyDescent="0.3">
      <c r="A366" s="93"/>
      <c r="B366" s="150"/>
      <c r="C366" s="151"/>
      <c r="D366" s="112"/>
      <c r="E366" s="138"/>
      <c r="F366" s="139"/>
      <c r="G366" s="138"/>
      <c r="H366" s="139"/>
      <c r="L366" s="140"/>
      <c r="M366" s="140"/>
      <c r="N366" s="141"/>
      <c r="O366" s="142"/>
    </row>
    <row r="367" spans="1:15" ht="15.6" x14ac:dyDescent="0.3">
      <c r="A367" s="93"/>
      <c r="B367" s="150"/>
      <c r="C367" s="151"/>
      <c r="D367" s="112"/>
      <c r="E367" s="138"/>
      <c r="F367" s="139"/>
      <c r="G367" s="138"/>
      <c r="H367" s="139"/>
      <c r="L367" s="140"/>
      <c r="M367" s="140"/>
      <c r="N367" s="141"/>
      <c r="O367" s="142"/>
    </row>
    <row r="368" spans="1:15" ht="15.6" x14ac:dyDescent="0.3">
      <c r="A368" s="93"/>
      <c r="B368" s="150"/>
      <c r="C368" s="151"/>
      <c r="D368" s="112"/>
      <c r="E368" s="138"/>
      <c r="F368" s="139"/>
      <c r="G368" s="138"/>
      <c r="H368" s="139"/>
      <c r="L368" s="140"/>
      <c r="M368" s="140"/>
      <c r="N368" s="141"/>
      <c r="O368" s="142"/>
    </row>
    <row r="369" spans="1:15" ht="15.6" x14ac:dyDescent="0.3">
      <c r="A369" s="93"/>
      <c r="B369" s="150"/>
      <c r="C369" s="151"/>
      <c r="D369" s="112"/>
      <c r="E369" s="138"/>
      <c r="F369" s="139"/>
      <c r="G369" s="138"/>
      <c r="H369" s="139"/>
      <c r="L369" s="140"/>
      <c r="M369" s="140"/>
      <c r="N369" s="141"/>
      <c r="O369" s="142"/>
    </row>
    <row r="370" spans="1:15" ht="15.6" x14ac:dyDescent="0.3">
      <c r="A370" s="93"/>
      <c r="B370" s="150"/>
      <c r="C370" s="151"/>
      <c r="D370" s="112"/>
      <c r="E370" s="138"/>
      <c r="F370" s="139"/>
      <c r="G370" s="138"/>
      <c r="H370" s="139"/>
      <c r="L370" s="140"/>
      <c r="M370" s="140"/>
      <c r="N370" s="141"/>
      <c r="O370" s="142"/>
    </row>
    <row r="371" spans="1:15" ht="15.6" x14ac:dyDescent="0.3">
      <c r="A371" s="93"/>
      <c r="B371" s="150"/>
      <c r="C371" s="151"/>
      <c r="D371" s="112"/>
      <c r="E371" s="138"/>
      <c r="F371" s="139"/>
      <c r="G371" s="138"/>
      <c r="H371" s="139"/>
      <c r="L371" s="140"/>
      <c r="M371" s="140"/>
      <c r="N371" s="141"/>
      <c r="O371" s="142"/>
    </row>
    <row r="372" spans="1:15" ht="15.6" x14ac:dyDescent="0.3">
      <c r="A372" s="93"/>
      <c r="B372" s="150"/>
      <c r="C372" s="151"/>
      <c r="D372" s="112"/>
      <c r="E372" s="138"/>
      <c r="F372" s="139"/>
      <c r="G372" s="138"/>
      <c r="H372" s="139"/>
      <c r="L372" s="140"/>
      <c r="M372" s="140"/>
      <c r="N372" s="141"/>
      <c r="O372" s="142"/>
    </row>
    <row r="373" spans="1:15" ht="16.2" thickBot="1" x14ac:dyDescent="0.35">
      <c r="A373" s="93"/>
      <c r="B373" s="93"/>
      <c r="C373" s="93"/>
      <c r="D373" s="112"/>
      <c r="E373" s="138"/>
      <c r="F373" s="139"/>
      <c r="G373" s="138"/>
      <c r="H373" s="139"/>
      <c r="L373" s="140"/>
      <c r="M373" s="140"/>
      <c r="N373" s="141"/>
      <c r="O373" s="142"/>
    </row>
    <row r="374" spans="1:15" ht="31.8" thickBot="1" x14ac:dyDescent="0.3">
      <c r="A374" s="93"/>
      <c r="B374" s="143" t="s">
        <v>0</v>
      </c>
      <c r="C374" s="144" t="s">
        <v>1</v>
      </c>
      <c r="D374" s="143"/>
      <c r="E374" s="144" t="s">
        <v>198</v>
      </c>
      <c r="F374" s="145" t="s">
        <v>194</v>
      </c>
      <c r="G374" s="144" t="s">
        <v>196</v>
      </c>
      <c r="H374" s="145" t="s">
        <v>9</v>
      </c>
      <c r="I374" s="143" t="s">
        <v>2</v>
      </c>
      <c r="J374" s="77" t="s">
        <v>39</v>
      </c>
      <c r="K374" s="144" t="s">
        <v>13</v>
      </c>
      <c r="L374" s="144" t="s">
        <v>14</v>
      </c>
      <c r="M374" s="146" t="s">
        <v>15</v>
      </c>
      <c r="N374" s="147" t="s">
        <v>11</v>
      </c>
      <c r="O374" s="148" t="s">
        <v>12</v>
      </c>
    </row>
    <row r="375" spans="1:15" ht="15.6" thickBot="1" x14ac:dyDescent="0.3">
      <c r="A375" s="85">
        <v>1</v>
      </c>
      <c r="B375" s="410" t="s">
        <v>126</v>
      </c>
      <c r="C375" s="402">
        <v>701</v>
      </c>
      <c r="D375" s="87" t="s">
        <v>35</v>
      </c>
      <c r="E375" s="159"/>
      <c r="F375" s="171">
        <v>46163</v>
      </c>
      <c r="G375" s="159"/>
      <c r="H375" s="171">
        <v>46197</v>
      </c>
      <c r="I375" s="86">
        <f>G375-E375</f>
        <v>0</v>
      </c>
      <c r="J375" s="86"/>
      <c r="K375" s="86">
        <v>257</v>
      </c>
      <c r="L375" s="382">
        <v>405000</v>
      </c>
      <c r="M375" s="90">
        <f t="shared" ref="M375:M381" si="98">I375*K375+J375</f>
        <v>0</v>
      </c>
      <c r="N375" s="91">
        <v>0</v>
      </c>
      <c r="O375" s="92">
        <f t="shared" ref="O375:O376" si="99">M375-N375</f>
        <v>0</v>
      </c>
    </row>
    <row r="376" spans="1:15" ht="15.6" thickBot="1" x14ac:dyDescent="0.3">
      <c r="A376" s="85"/>
      <c r="B376" s="411"/>
      <c r="C376" s="403"/>
      <c r="D376" s="94" t="s">
        <v>36</v>
      </c>
      <c r="E376" s="156"/>
      <c r="F376" s="171">
        <v>46163</v>
      </c>
      <c r="G376" s="156"/>
      <c r="H376" s="171">
        <v>46197</v>
      </c>
      <c r="I376" s="86">
        <f>G376-E376</f>
        <v>0</v>
      </c>
      <c r="J376" s="86">
        <v>0</v>
      </c>
      <c r="K376" s="93">
        <v>1200</v>
      </c>
      <c r="L376" s="383"/>
      <c r="M376" s="267">
        <f t="shared" si="98"/>
        <v>0</v>
      </c>
      <c r="N376" s="98"/>
      <c r="O376" s="92">
        <f t="shared" si="99"/>
        <v>0</v>
      </c>
    </row>
    <row r="377" spans="1:15" ht="15.6" thickBot="1" x14ac:dyDescent="0.3">
      <c r="A377" s="85"/>
      <c r="B377" s="411"/>
      <c r="C377" s="403"/>
      <c r="D377" s="117" t="s">
        <v>37</v>
      </c>
      <c r="E377" s="118"/>
      <c r="F377" s="119"/>
      <c r="G377" s="118"/>
      <c r="H377" s="119"/>
      <c r="I377" s="120">
        <v>1</v>
      </c>
      <c r="J377" s="120"/>
      <c r="K377" s="120">
        <v>15000</v>
      </c>
      <c r="L377" s="383"/>
      <c r="M377" s="90">
        <f t="shared" si="98"/>
        <v>15000</v>
      </c>
      <c r="N377" s="99"/>
      <c r="O377" s="92">
        <f t="shared" ref="O377:O380" si="100">M377+L377-N377</f>
        <v>15000</v>
      </c>
    </row>
    <row r="378" spans="1:15" ht="15.6" thickBot="1" x14ac:dyDescent="0.3">
      <c r="A378" s="85"/>
      <c r="B378" s="411"/>
      <c r="C378" s="403"/>
      <c r="D378" s="94" t="s">
        <v>90</v>
      </c>
      <c r="E378" s="95"/>
      <c r="F378" s="96"/>
      <c r="G378" s="95"/>
      <c r="H378" s="96"/>
      <c r="I378" s="93"/>
      <c r="J378" s="93"/>
      <c r="K378" s="93">
        <v>0</v>
      </c>
      <c r="L378" s="383"/>
      <c r="M378" s="90">
        <f t="shared" si="98"/>
        <v>0</v>
      </c>
      <c r="N378" s="98"/>
      <c r="O378" s="92">
        <f t="shared" si="100"/>
        <v>0</v>
      </c>
    </row>
    <row r="379" spans="1:15" ht="15.6" thickBot="1" x14ac:dyDescent="0.3">
      <c r="A379" s="85"/>
      <c r="B379" s="411"/>
      <c r="C379" s="403"/>
      <c r="D379" s="94" t="s">
        <v>91</v>
      </c>
      <c r="E379" s="95"/>
      <c r="F379" s="96"/>
      <c r="G379" s="95"/>
      <c r="H379" s="96"/>
      <c r="I379" s="93">
        <v>0</v>
      </c>
      <c r="J379" s="93"/>
      <c r="K379" s="93">
        <v>2000</v>
      </c>
      <c r="L379" s="383"/>
      <c r="M379" s="90">
        <f t="shared" si="98"/>
        <v>0</v>
      </c>
      <c r="N379" s="98"/>
      <c r="O379" s="92">
        <f t="shared" si="100"/>
        <v>0</v>
      </c>
    </row>
    <row r="380" spans="1:15" ht="30.6" thickBot="1" x14ac:dyDescent="0.3">
      <c r="A380" s="85"/>
      <c r="B380" s="411"/>
      <c r="C380" s="403"/>
      <c r="D380" s="94" t="s">
        <v>92</v>
      </c>
      <c r="E380" s="95"/>
      <c r="F380" s="96"/>
      <c r="G380" s="95"/>
      <c r="H380" s="96"/>
      <c r="I380" s="93">
        <v>0</v>
      </c>
      <c r="J380" s="93"/>
      <c r="K380" s="93">
        <v>0</v>
      </c>
      <c r="L380" s="383"/>
      <c r="M380" s="90">
        <f t="shared" si="98"/>
        <v>0</v>
      </c>
      <c r="N380" s="98"/>
      <c r="O380" s="92">
        <f t="shared" si="100"/>
        <v>0</v>
      </c>
    </row>
    <row r="381" spans="1:15" x14ac:dyDescent="0.25">
      <c r="A381" s="85"/>
      <c r="B381" s="411"/>
      <c r="C381" s="403"/>
      <c r="D381" s="94" t="s">
        <v>189</v>
      </c>
      <c r="E381" s="95"/>
      <c r="F381" s="96"/>
      <c r="G381" s="95"/>
      <c r="H381" s="96"/>
      <c r="I381" s="93"/>
      <c r="J381" s="93"/>
      <c r="K381" s="93"/>
      <c r="L381" s="384"/>
      <c r="M381" s="90">
        <f t="shared" si="98"/>
        <v>0</v>
      </c>
      <c r="N381" s="98"/>
      <c r="O381" s="92">
        <f>L375</f>
        <v>405000</v>
      </c>
    </row>
    <row r="382" spans="1:15" ht="16.2" thickBot="1" x14ac:dyDescent="0.35">
      <c r="A382" s="93"/>
      <c r="B382" s="412"/>
      <c r="C382" s="404"/>
      <c r="D382" s="123" t="s">
        <v>38</v>
      </c>
      <c r="E382" s="124"/>
      <c r="F382" s="125"/>
      <c r="G382" s="124"/>
      <c r="H382" s="125"/>
      <c r="I382" s="126"/>
      <c r="J382" s="126"/>
      <c r="K382" s="126"/>
      <c r="L382" s="127"/>
      <c r="M382" s="127"/>
      <c r="N382" s="128"/>
      <c r="O382" s="107">
        <f>SUM(O375:O381)</f>
        <v>420000</v>
      </c>
    </row>
    <row r="383" spans="1:15" ht="15.6" x14ac:dyDescent="0.3">
      <c r="A383" s="93"/>
      <c r="B383" s="263"/>
      <c r="C383" s="151"/>
      <c r="D383" s="112"/>
      <c r="E383" s="138"/>
      <c r="F383" s="139"/>
      <c r="G383" s="138"/>
      <c r="H383" s="139"/>
      <c r="L383" s="140"/>
      <c r="M383" s="140"/>
      <c r="N383" s="141"/>
      <c r="O383" s="142"/>
    </row>
    <row r="384" spans="1:15" ht="15.6" x14ac:dyDescent="0.3">
      <c r="A384" s="93"/>
      <c r="B384" s="263"/>
      <c r="C384" s="151"/>
      <c r="D384" s="112"/>
      <c r="E384" s="138"/>
      <c r="F384" s="139"/>
      <c r="G384" s="138"/>
      <c r="H384" s="139"/>
      <c r="L384" s="140"/>
      <c r="M384" s="140"/>
      <c r="N384" s="141"/>
      <c r="O384" s="142"/>
    </row>
    <row r="385" spans="1:15" ht="15.6" x14ac:dyDescent="0.3">
      <c r="A385" s="93"/>
      <c r="B385" s="263"/>
      <c r="C385" s="151"/>
      <c r="D385" s="112"/>
      <c r="E385" s="138"/>
      <c r="F385" s="139"/>
      <c r="G385" s="138"/>
      <c r="H385" s="139"/>
      <c r="L385" s="140"/>
      <c r="M385" s="140"/>
      <c r="N385" s="141"/>
      <c r="O385" s="142"/>
    </row>
    <row r="386" spans="1:15" ht="15.6" x14ac:dyDescent="0.3">
      <c r="A386" s="93"/>
      <c r="B386" s="263"/>
      <c r="C386" s="151"/>
      <c r="D386" s="112"/>
      <c r="E386" s="138"/>
      <c r="F386" s="139"/>
      <c r="G386" s="138"/>
      <c r="H386" s="139"/>
      <c r="L386" s="140"/>
      <c r="M386" s="140"/>
      <c r="N386" s="141"/>
      <c r="O386" s="142"/>
    </row>
    <row r="387" spans="1:15" ht="15.6" x14ac:dyDescent="0.3">
      <c r="A387" s="93"/>
      <c r="B387" s="263"/>
      <c r="C387" s="151"/>
      <c r="D387" s="112"/>
      <c r="E387" s="138"/>
      <c r="F387" s="139"/>
      <c r="G387" s="138"/>
      <c r="H387" s="139"/>
      <c r="L387" s="140"/>
      <c r="M387" s="140"/>
      <c r="N387" s="141"/>
      <c r="O387" s="142"/>
    </row>
    <row r="388" spans="1:15" ht="16.2" thickBot="1" x14ac:dyDescent="0.35">
      <c r="A388" s="93"/>
      <c r="B388" s="263"/>
      <c r="C388" s="151"/>
      <c r="D388" s="112"/>
      <c r="E388" s="138"/>
      <c r="F388" s="139"/>
      <c r="G388" s="138"/>
      <c r="H388" s="139"/>
      <c r="L388" s="140"/>
      <c r="M388" s="140"/>
      <c r="N388" s="141"/>
      <c r="O388" s="142"/>
    </row>
    <row r="389" spans="1:15" ht="31.8" thickBot="1" x14ac:dyDescent="0.3">
      <c r="A389" s="93"/>
      <c r="B389" s="143" t="s">
        <v>0</v>
      </c>
      <c r="C389" s="144" t="s">
        <v>1</v>
      </c>
      <c r="D389" s="143"/>
      <c r="E389" s="144" t="s">
        <v>198</v>
      </c>
      <c r="F389" s="145" t="s">
        <v>194</v>
      </c>
      <c r="G389" s="144" t="s">
        <v>196</v>
      </c>
      <c r="H389" s="145" t="s">
        <v>9</v>
      </c>
      <c r="I389" s="143" t="s">
        <v>2</v>
      </c>
      <c r="J389" s="77" t="s">
        <v>39</v>
      </c>
      <c r="K389" s="144" t="s">
        <v>13</v>
      </c>
      <c r="L389" s="144" t="s">
        <v>14</v>
      </c>
      <c r="M389" s="146" t="s">
        <v>15</v>
      </c>
      <c r="N389" s="147" t="s">
        <v>11</v>
      </c>
      <c r="O389" s="148" t="s">
        <v>12</v>
      </c>
    </row>
    <row r="390" spans="1:15" ht="15.6" thickBot="1" x14ac:dyDescent="0.3">
      <c r="A390" s="85">
        <v>1</v>
      </c>
      <c r="B390" s="405" t="s">
        <v>101</v>
      </c>
      <c r="C390" s="402">
        <v>703</v>
      </c>
      <c r="D390" s="87" t="s">
        <v>35</v>
      </c>
      <c r="E390" s="88">
        <v>171.8</v>
      </c>
      <c r="F390" s="171">
        <v>46163</v>
      </c>
      <c r="G390" s="88">
        <v>196</v>
      </c>
      <c r="H390" s="171">
        <v>46197</v>
      </c>
      <c r="I390" s="86">
        <f>G390-E390</f>
        <v>24.199999999999989</v>
      </c>
      <c r="J390" s="86"/>
      <c r="K390" s="86">
        <v>257</v>
      </c>
      <c r="L390" s="382">
        <v>-4.5</v>
      </c>
      <c r="M390" s="90">
        <f t="shared" ref="M390:M396" si="101">I390*K390+J390</f>
        <v>6219.3999999999969</v>
      </c>
      <c r="N390" s="91">
        <v>0</v>
      </c>
      <c r="O390" s="92">
        <f t="shared" ref="O390:O391" si="102">M390-N390</f>
        <v>6219.3999999999969</v>
      </c>
    </row>
    <row r="391" spans="1:15" ht="15.6" thickBot="1" x14ac:dyDescent="0.3">
      <c r="A391" s="85"/>
      <c r="B391" s="406"/>
      <c r="C391" s="403"/>
      <c r="D391" s="94" t="s">
        <v>36</v>
      </c>
      <c r="E391" s="95">
        <v>295</v>
      </c>
      <c r="F391" s="171">
        <v>46163</v>
      </c>
      <c r="G391" s="95">
        <v>311</v>
      </c>
      <c r="H391" s="171">
        <v>46197</v>
      </c>
      <c r="I391" s="86">
        <f>G391-E391</f>
        <v>16</v>
      </c>
      <c r="J391" s="86">
        <v>1000</v>
      </c>
      <c r="K391" s="93">
        <v>1200</v>
      </c>
      <c r="L391" s="383"/>
      <c r="M391" s="90">
        <f t="shared" si="101"/>
        <v>20200</v>
      </c>
      <c r="N391" s="98"/>
      <c r="O391" s="92">
        <f t="shared" si="102"/>
        <v>20200</v>
      </c>
    </row>
    <row r="392" spans="1:15" ht="15.6" thickBot="1" x14ac:dyDescent="0.3">
      <c r="A392" s="85"/>
      <c r="B392" s="406"/>
      <c r="C392" s="403"/>
      <c r="D392" s="117" t="s">
        <v>37</v>
      </c>
      <c r="E392" s="118"/>
      <c r="F392" s="119"/>
      <c r="G392" s="118"/>
      <c r="H392" s="119"/>
      <c r="I392" s="120">
        <v>1</v>
      </c>
      <c r="J392" s="120"/>
      <c r="K392" s="120">
        <v>25000</v>
      </c>
      <c r="L392" s="383"/>
      <c r="M392" s="90">
        <f t="shared" si="101"/>
        <v>25000</v>
      </c>
      <c r="N392" s="99"/>
      <c r="O392" s="92">
        <f t="shared" ref="O392:O395" si="103">M392+L392-N392</f>
        <v>25000</v>
      </c>
    </row>
    <row r="393" spans="1:15" ht="15.6" thickBot="1" x14ac:dyDescent="0.3">
      <c r="A393" s="85"/>
      <c r="B393" s="406"/>
      <c r="C393" s="403"/>
      <c r="D393" s="94" t="s">
        <v>90</v>
      </c>
      <c r="E393" s="95"/>
      <c r="F393" s="96"/>
      <c r="G393" s="95"/>
      <c r="H393" s="96"/>
      <c r="I393" s="93"/>
      <c r="J393" s="93"/>
      <c r="K393" s="93">
        <v>0</v>
      </c>
      <c r="L393" s="383"/>
      <c r="M393" s="90">
        <f t="shared" si="101"/>
        <v>0</v>
      </c>
      <c r="N393" s="98"/>
      <c r="O393" s="92">
        <f t="shared" si="103"/>
        <v>0</v>
      </c>
    </row>
    <row r="394" spans="1:15" ht="15.6" thickBot="1" x14ac:dyDescent="0.3">
      <c r="A394" s="85"/>
      <c r="B394" s="406"/>
      <c r="C394" s="403"/>
      <c r="D394" s="94" t="s">
        <v>91</v>
      </c>
      <c r="E394" s="95"/>
      <c r="F394" s="96"/>
      <c r="G394" s="95"/>
      <c r="H394" s="96"/>
      <c r="I394" s="93">
        <v>1</v>
      </c>
      <c r="J394" s="93"/>
      <c r="K394" s="93">
        <v>2000</v>
      </c>
      <c r="L394" s="383"/>
      <c r="M394" s="90">
        <f t="shared" si="101"/>
        <v>2000</v>
      </c>
      <c r="N394" s="98"/>
      <c r="O394" s="92">
        <f t="shared" si="103"/>
        <v>2000</v>
      </c>
    </row>
    <row r="395" spans="1:15" ht="30.6" thickBot="1" x14ac:dyDescent="0.3">
      <c r="A395" s="85"/>
      <c r="B395" s="406"/>
      <c r="C395" s="403"/>
      <c r="D395" s="94" t="s">
        <v>92</v>
      </c>
      <c r="E395" s="95"/>
      <c r="F395" s="96"/>
      <c r="G395" s="95"/>
      <c r="H395" s="96"/>
      <c r="I395" s="93">
        <v>0</v>
      </c>
      <c r="J395" s="93"/>
      <c r="K395" s="93">
        <v>0</v>
      </c>
      <c r="L395" s="383"/>
      <c r="M395" s="90">
        <f t="shared" si="101"/>
        <v>0</v>
      </c>
      <c r="N395" s="98"/>
      <c r="O395" s="92">
        <f t="shared" si="103"/>
        <v>0</v>
      </c>
    </row>
    <row r="396" spans="1:15" x14ac:dyDescent="0.25">
      <c r="A396" s="85"/>
      <c r="B396" s="406"/>
      <c r="C396" s="403"/>
      <c r="D396" s="94" t="s">
        <v>189</v>
      </c>
      <c r="E396" s="95"/>
      <c r="F396" s="96"/>
      <c r="G396" s="95"/>
      <c r="H396" s="96"/>
      <c r="I396" s="93"/>
      <c r="J396" s="93"/>
      <c r="K396" s="93"/>
      <c r="L396" s="384"/>
      <c r="M396" s="90">
        <f t="shared" si="101"/>
        <v>0</v>
      </c>
      <c r="N396" s="98"/>
      <c r="O396" s="92">
        <f>L390</f>
        <v>-4.5</v>
      </c>
    </row>
    <row r="397" spans="1:15" ht="16.2" thickBot="1" x14ac:dyDescent="0.35">
      <c r="A397" s="93"/>
      <c r="B397" s="407"/>
      <c r="C397" s="404"/>
      <c r="D397" s="123" t="s">
        <v>38</v>
      </c>
      <c r="E397" s="124"/>
      <c r="F397" s="125"/>
      <c r="G397" s="124"/>
      <c r="H397" s="125"/>
      <c r="I397" s="126"/>
      <c r="J397" s="126"/>
      <c r="K397" s="126"/>
      <c r="L397" s="127"/>
      <c r="M397" s="127"/>
      <c r="N397" s="128"/>
      <c r="O397" s="107">
        <f>SUM(O390:O396)</f>
        <v>53414.899999999994</v>
      </c>
    </row>
    <row r="398" spans="1:15" ht="15.6" x14ac:dyDescent="0.3">
      <c r="A398" s="93"/>
      <c r="B398" s="150"/>
      <c r="C398" s="151"/>
      <c r="D398" s="112"/>
      <c r="E398" s="138"/>
      <c r="F398" s="139"/>
      <c r="G398" s="138"/>
      <c r="H398" s="139"/>
      <c r="L398" s="140"/>
      <c r="M398" s="140"/>
      <c r="N398" s="141"/>
      <c r="O398" s="142"/>
    </row>
    <row r="399" spans="1:15" ht="31.8" thickBot="1" x14ac:dyDescent="0.3">
      <c r="A399" s="93"/>
      <c r="B399" s="143" t="s">
        <v>0</v>
      </c>
      <c r="C399" s="144" t="s">
        <v>1</v>
      </c>
      <c r="D399" s="143"/>
      <c r="E399" s="144" t="s">
        <v>198</v>
      </c>
      <c r="F399" s="145" t="s">
        <v>194</v>
      </c>
      <c r="G399" s="144" t="s">
        <v>196</v>
      </c>
      <c r="H399" s="145" t="s">
        <v>9</v>
      </c>
      <c r="I399" s="143" t="s">
        <v>2</v>
      </c>
      <c r="J399" s="144" t="s">
        <v>10</v>
      </c>
      <c r="K399" s="144" t="s">
        <v>13</v>
      </c>
      <c r="L399" s="144" t="s">
        <v>14</v>
      </c>
      <c r="M399" s="146" t="s">
        <v>15</v>
      </c>
      <c r="N399" s="147" t="s">
        <v>11</v>
      </c>
      <c r="O399" s="148" t="s">
        <v>12</v>
      </c>
    </row>
    <row r="400" spans="1:15" ht="15.6" thickBot="1" x14ac:dyDescent="0.3">
      <c r="A400" s="85">
        <v>1</v>
      </c>
      <c r="B400" s="402" t="s">
        <v>127</v>
      </c>
      <c r="C400" s="392">
        <v>704</v>
      </c>
      <c r="D400" s="87" t="s">
        <v>35</v>
      </c>
      <c r="E400" s="88">
        <v>717.8</v>
      </c>
      <c r="F400" s="171">
        <v>46163</v>
      </c>
      <c r="G400" s="88">
        <v>725.9</v>
      </c>
      <c r="H400" s="171">
        <v>46197</v>
      </c>
      <c r="I400" s="86">
        <f>G400-E400</f>
        <v>8.1000000000000227</v>
      </c>
      <c r="J400" s="86"/>
      <c r="K400" s="86">
        <v>257</v>
      </c>
      <c r="L400" s="382">
        <v>-0.7</v>
      </c>
      <c r="M400" s="90">
        <f t="shared" ref="M400:M406" si="104">I400*K400+J400</f>
        <v>2081.7000000000057</v>
      </c>
      <c r="N400" s="91">
        <v>0</v>
      </c>
      <c r="O400" s="92">
        <f t="shared" ref="O400:O401" si="105">M400-N400</f>
        <v>2081.7000000000057</v>
      </c>
    </row>
    <row r="401" spans="1:15" ht="15.6" thickBot="1" x14ac:dyDescent="0.3">
      <c r="A401" s="85"/>
      <c r="B401" s="403"/>
      <c r="C401" s="393"/>
      <c r="D401" s="94" t="s">
        <v>36</v>
      </c>
      <c r="E401" s="95">
        <v>194</v>
      </c>
      <c r="F401" s="171">
        <v>46163</v>
      </c>
      <c r="G401" s="95">
        <v>196</v>
      </c>
      <c r="H401" s="171">
        <v>46197</v>
      </c>
      <c r="I401" s="86">
        <f>G401-E401</f>
        <v>2</v>
      </c>
      <c r="J401" s="86">
        <v>1000</v>
      </c>
      <c r="K401" s="93">
        <v>1200</v>
      </c>
      <c r="L401" s="383"/>
      <c r="M401" s="90">
        <f t="shared" si="104"/>
        <v>3400</v>
      </c>
      <c r="N401" s="98"/>
      <c r="O401" s="92">
        <f t="shared" si="105"/>
        <v>3400</v>
      </c>
    </row>
    <row r="402" spans="1:15" ht="15.6" thickBot="1" x14ac:dyDescent="0.3">
      <c r="A402" s="85"/>
      <c r="B402" s="403"/>
      <c r="C402" s="393"/>
      <c r="D402" s="117" t="s">
        <v>37</v>
      </c>
      <c r="E402" s="118"/>
      <c r="F402" s="119"/>
      <c r="G402" s="118"/>
      <c r="H402" s="119"/>
      <c r="I402" s="120">
        <v>1</v>
      </c>
      <c r="J402" s="120"/>
      <c r="K402" s="120">
        <v>25000</v>
      </c>
      <c r="L402" s="383"/>
      <c r="M402" s="90">
        <f t="shared" si="104"/>
        <v>25000</v>
      </c>
      <c r="N402" s="99"/>
      <c r="O402" s="92">
        <f t="shared" ref="O402:O405" si="106">M402+L402-N402</f>
        <v>25000</v>
      </c>
    </row>
    <row r="403" spans="1:15" ht="15.6" thickBot="1" x14ac:dyDescent="0.3">
      <c r="A403" s="85"/>
      <c r="B403" s="403"/>
      <c r="C403" s="393"/>
      <c r="D403" s="94" t="s">
        <v>90</v>
      </c>
      <c r="E403" s="95"/>
      <c r="F403" s="96"/>
      <c r="G403" s="95"/>
      <c r="H403" s="96"/>
      <c r="I403" s="93"/>
      <c r="J403" s="93"/>
      <c r="K403" s="93">
        <v>0</v>
      </c>
      <c r="L403" s="383"/>
      <c r="M403" s="90">
        <f t="shared" si="104"/>
        <v>0</v>
      </c>
      <c r="N403" s="98"/>
      <c r="O403" s="92">
        <f t="shared" si="106"/>
        <v>0</v>
      </c>
    </row>
    <row r="404" spans="1:15" ht="15.6" thickBot="1" x14ac:dyDescent="0.3">
      <c r="A404" s="85"/>
      <c r="B404" s="403"/>
      <c r="C404" s="393"/>
      <c r="D404" s="94" t="s">
        <v>91</v>
      </c>
      <c r="E404" s="95"/>
      <c r="F404" s="96"/>
      <c r="G404" s="95"/>
      <c r="H404" s="96"/>
      <c r="I404" s="93">
        <v>1</v>
      </c>
      <c r="J404" s="93"/>
      <c r="K404" s="93">
        <v>2000</v>
      </c>
      <c r="L404" s="383"/>
      <c r="M404" s="90">
        <f t="shared" si="104"/>
        <v>2000</v>
      </c>
      <c r="N404" s="98"/>
      <c r="O404" s="92">
        <f t="shared" si="106"/>
        <v>2000</v>
      </c>
    </row>
    <row r="405" spans="1:15" ht="30.6" thickBot="1" x14ac:dyDescent="0.3">
      <c r="A405" s="85"/>
      <c r="B405" s="403"/>
      <c r="C405" s="393"/>
      <c r="D405" s="94" t="s">
        <v>92</v>
      </c>
      <c r="E405" s="95"/>
      <c r="F405" s="96"/>
      <c r="G405" s="95"/>
      <c r="H405" s="96"/>
      <c r="I405" s="93"/>
      <c r="J405" s="93"/>
      <c r="K405" s="93"/>
      <c r="L405" s="383"/>
      <c r="M405" s="90">
        <f t="shared" si="104"/>
        <v>0</v>
      </c>
      <c r="N405" s="98"/>
      <c r="O405" s="92">
        <f t="shared" si="106"/>
        <v>0</v>
      </c>
    </row>
    <row r="406" spans="1:15" x14ac:dyDescent="0.25">
      <c r="A406" s="85"/>
      <c r="B406" s="403"/>
      <c r="C406" s="393"/>
      <c r="D406" s="94" t="s">
        <v>189</v>
      </c>
      <c r="E406" s="95"/>
      <c r="F406" s="96"/>
      <c r="G406" s="95"/>
      <c r="H406" s="96"/>
      <c r="I406" s="93"/>
      <c r="J406" s="93"/>
      <c r="K406" s="93"/>
      <c r="L406" s="384"/>
      <c r="M406" s="90">
        <f t="shared" si="104"/>
        <v>0</v>
      </c>
      <c r="N406" s="98"/>
      <c r="O406" s="92">
        <f>L400</f>
        <v>-0.7</v>
      </c>
    </row>
    <row r="407" spans="1:15" ht="16.2" thickBot="1" x14ac:dyDescent="0.35">
      <c r="B407" s="404"/>
      <c r="C407" s="394"/>
      <c r="D407" s="123" t="s">
        <v>38</v>
      </c>
      <c r="E407" s="124"/>
      <c r="F407" s="125"/>
      <c r="G407" s="124"/>
      <c r="H407" s="125"/>
      <c r="I407" s="126"/>
      <c r="J407" s="126"/>
      <c r="K407" s="126"/>
      <c r="L407" s="127"/>
      <c r="M407" s="127"/>
      <c r="N407" s="128"/>
      <c r="O407" s="107">
        <f>SUM(O400:O406)</f>
        <v>32481.000000000004</v>
      </c>
    </row>
    <row r="408" spans="1:15" ht="15.6" x14ac:dyDescent="0.3">
      <c r="B408" s="151"/>
      <c r="C408" s="137"/>
      <c r="D408" s="112"/>
      <c r="E408" s="138"/>
      <c r="F408" s="139"/>
      <c r="G408" s="138"/>
      <c r="H408" s="139"/>
      <c r="L408" s="140"/>
      <c r="M408" s="140"/>
      <c r="N408" s="141"/>
      <c r="O408" s="142"/>
    </row>
    <row r="409" spans="1:15" ht="15.6" x14ac:dyDescent="0.3">
      <c r="B409" s="151"/>
      <c r="C409" s="137"/>
      <c r="D409" s="112"/>
      <c r="E409" s="138"/>
      <c r="F409" s="139"/>
      <c r="G409" s="138"/>
      <c r="H409" s="139"/>
      <c r="L409" s="140"/>
      <c r="M409" s="140"/>
      <c r="N409" s="141"/>
      <c r="O409" s="142"/>
    </row>
    <row r="410" spans="1:15" ht="15.6" x14ac:dyDescent="0.3">
      <c r="B410" s="151"/>
      <c r="C410" s="137"/>
      <c r="D410" s="112"/>
      <c r="E410" s="138"/>
      <c r="F410" s="139"/>
      <c r="G410" s="138"/>
      <c r="H410" s="139"/>
      <c r="L410" s="140"/>
      <c r="M410" s="140"/>
      <c r="N410" s="141"/>
      <c r="O410" s="142"/>
    </row>
    <row r="411" spans="1:15" ht="15.6" x14ac:dyDescent="0.3">
      <c r="B411" s="151"/>
      <c r="C411" s="137"/>
      <c r="D411" s="112"/>
      <c r="E411" s="138"/>
      <c r="F411" s="139"/>
      <c r="G411" s="138"/>
      <c r="H411" s="139"/>
      <c r="L411" s="140"/>
      <c r="M411" s="140"/>
      <c r="N411" s="141"/>
      <c r="O411" s="142"/>
    </row>
    <row r="412" spans="1:15" ht="15.6" x14ac:dyDescent="0.3">
      <c r="B412" s="151"/>
      <c r="C412" s="137"/>
      <c r="D412" s="112"/>
      <c r="E412" s="138"/>
      <c r="F412" s="139"/>
      <c r="G412" s="138"/>
      <c r="H412" s="139"/>
      <c r="L412" s="140"/>
      <c r="M412" s="140"/>
      <c r="N412" s="141"/>
      <c r="O412" s="142"/>
    </row>
    <row r="413" spans="1:15" ht="15.6" x14ac:dyDescent="0.3">
      <c r="B413" s="151"/>
      <c r="C413" s="137"/>
      <c r="D413" s="112"/>
      <c r="E413" s="138"/>
      <c r="F413" s="139"/>
      <c r="G413" s="138"/>
      <c r="H413" s="139"/>
      <c r="L413" s="140"/>
      <c r="M413" s="140"/>
      <c r="N413" s="141"/>
      <c r="O413" s="142"/>
    </row>
    <row r="414" spans="1:15" ht="15.6" x14ac:dyDescent="0.3">
      <c r="B414" s="151"/>
      <c r="C414" s="137"/>
      <c r="D414" s="112"/>
      <c r="E414" s="138"/>
      <c r="F414" s="139"/>
      <c r="G414" s="138"/>
      <c r="H414" s="139"/>
      <c r="L414" s="140"/>
      <c r="M414" s="140"/>
      <c r="N414" s="141"/>
      <c r="O414" s="142"/>
    </row>
    <row r="415" spans="1:15" ht="15.6" x14ac:dyDescent="0.3">
      <c r="B415" s="151"/>
      <c r="C415" s="137"/>
      <c r="D415" s="112"/>
      <c r="E415" s="138"/>
      <c r="F415" s="139"/>
      <c r="G415" s="138"/>
      <c r="H415" s="139"/>
      <c r="L415" s="140"/>
      <c r="M415" s="140"/>
      <c r="N415" s="141"/>
      <c r="O415" s="142"/>
    </row>
    <row r="416" spans="1:15" ht="15.6" x14ac:dyDescent="0.3">
      <c r="B416" s="151"/>
      <c r="C416" s="137"/>
      <c r="D416" s="112"/>
      <c r="E416" s="138"/>
      <c r="F416" s="139"/>
      <c r="G416" s="138"/>
      <c r="H416" s="139"/>
      <c r="L416" s="140"/>
      <c r="M416" s="140"/>
      <c r="N416" s="141"/>
      <c r="O416" s="142"/>
    </row>
    <row r="417" spans="1:15" ht="15.6" x14ac:dyDescent="0.3">
      <c r="B417" s="151"/>
      <c r="C417" s="137"/>
      <c r="D417" s="112"/>
      <c r="E417" s="138"/>
      <c r="F417" s="139"/>
      <c r="G417" s="138"/>
      <c r="H417" s="139"/>
      <c r="L417" s="140"/>
      <c r="M417" s="140"/>
      <c r="N417" s="141"/>
      <c r="O417" s="142"/>
    </row>
    <row r="418" spans="1:15" ht="15.6" x14ac:dyDescent="0.3">
      <c r="B418" s="151"/>
      <c r="C418" s="137"/>
      <c r="D418" s="112"/>
      <c r="E418" s="138"/>
      <c r="F418" s="139"/>
      <c r="G418" s="138"/>
      <c r="H418" s="139"/>
      <c r="L418" s="140"/>
      <c r="M418" s="140"/>
      <c r="N418" s="141"/>
      <c r="O418" s="142"/>
    </row>
    <row r="419" spans="1:15" ht="15.6" x14ac:dyDescent="0.3">
      <c r="B419" s="151"/>
      <c r="C419" s="137"/>
      <c r="D419" s="112"/>
      <c r="E419" s="138"/>
      <c r="F419" s="139"/>
      <c r="G419" s="138"/>
      <c r="H419" s="139"/>
      <c r="L419" s="140"/>
      <c r="M419" s="140"/>
      <c r="N419" s="141"/>
      <c r="O419" s="142"/>
    </row>
    <row r="420" spans="1:15" ht="15.6" x14ac:dyDescent="0.3">
      <c r="B420" s="151"/>
      <c r="C420" s="137"/>
      <c r="D420" s="112"/>
      <c r="E420" s="138"/>
      <c r="F420" s="139"/>
      <c r="G420" s="138"/>
      <c r="H420" s="139"/>
      <c r="L420" s="140"/>
      <c r="M420" s="140"/>
      <c r="N420" s="141"/>
      <c r="O420" s="142"/>
    </row>
    <row r="421" spans="1:15" ht="15.6" x14ac:dyDescent="0.3">
      <c r="B421" s="151"/>
      <c r="C421" s="137"/>
      <c r="D421" s="112"/>
      <c r="E421" s="138"/>
      <c r="F421" s="139"/>
      <c r="G421" s="138"/>
      <c r="H421" s="139"/>
      <c r="L421" s="140"/>
      <c r="M421" s="140"/>
      <c r="N421" s="141"/>
      <c r="O421" s="142"/>
    </row>
    <row r="422" spans="1:15" ht="15.6" x14ac:dyDescent="0.3">
      <c r="B422" s="151"/>
      <c r="C422" s="137"/>
      <c r="D422" s="112"/>
      <c r="E422" s="138"/>
      <c r="F422" s="139"/>
      <c r="G422" s="138"/>
      <c r="H422" s="139"/>
      <c r="L422" s="140"/>
      <c r="M422" s="140"/>
      <c r="N422" s="141"/>
      <c r="O422" s="142"/>
    </row>
    <row r="423" spans="1:15" ht="15.6" x14ac:dyDescent="0.3">
      <c r="B423" s="151"/>
      <c r="C423" s="137"/>
      <c r="D423" s="112"/>
      <c r="E423" s="138"/>
      <c r="F423" s="139"/>
      <c r="G423" s="138"/>
      <c r="H423" s="139"/>
      <c r="L423" s="140"/>
      <c r="M423" s="140"/>
      <c r="N423" s="141"/>
      <c r="O423" s="142"/>
    </row>
    <row r="424" spans="1:15" ht="15.6" x14ac:dyDescent="0.3">
      <c r="B424" s="151"/>
      <c r="C424" s="137"/>
      <c r="D424" s="112"/>
      <c r="E424" s="138"/>
      <c r="F424" s="139"/>
      <c r="G424" s="138"/>
      <c r="H424" s="139"/>
      <c r="L424" s="140"/>
      <c r="M424" s="140"/>
      <c r="N424" s="141"/>
      <c r="O424" s="142"/>
    </row>
    <row r="425" spans="1:15" ht="31.8" thickBot="1" x14ac:dyDescent="0.3">
      <c r="A425" s="93"/>
      <c r="B425" s="154" t="s">
        <v>0</v>
      </c>
      <c r="C425" s="144" t="s">
        <v>1</v>
      </c>
      <c r="D425" s="143"/>
      <c r="E425" s="144" t="s">
        <v>198</v>
      </c>
      <c r="F425" s="145" t="s">
        <v>194</v>
      </c>
      <c r="G425" s="144" t="s">
        <v>196</v>
      </c>
      <c r="H425" s="145" t="s">
        <v>9</v>
      </c>
      <c r="I425" s="143" t="s">
        <v>2</v>
      </c>
      <c r="J425" s="144" t="s">
        <v>10</v>
      </c>
      <c r="K425" s="144" t="s">
        <v>13</v>
      </c>
      <c r="L425" s="144" t="s">
        <v>14</v>
      </c>
      <c r="M425" s="146" t="s">
        <v>15</v>
      </c>
      <c r="N425" s="147" t="s">
        <v>11</v>
      </c>
      <c r="O425" s="148" t="s">
        <v>12</v>
      </c>
    </row>
    <row r="426" spans="1:15" ht="15.6" thickBot="1" x14ac:dyDescent="0.3">
      <c r="A426" s="85">
        <v>1</v>
      </c>
      <c r="B426" s="388" t="s">
        <v>128</v>
      </c>
      <c r="C426" s="400">
        <v>706</v>
      </c>
      <c r="D426" s="87" t="s">
        <v>35</v>
      </c>
      <c r="E426" s="88">
        <v>609.6</v>
      </c>
      <c r="F426" s="171">
        <v>46163</v>
      </c>
      <c r="G426" s="88">
        <v>799.1</v>
      </c>
      <c r="H426" s="171">
        <v>46197</v>
      </c>
      <c r="I426" s="86">
        <f>G426-E426</f>
        <v>189.5</v>
      </c>
      <c r="J426" s="86"/>
      <c r="K426" s="86">
        <v>257</v>
      </c>
      <c r="L426" s="382">
        <v>85457.1</v>
      </c>
      <c r="M426" s="90">
        <f t="shared" ref="M426:M432" si="107">I426*K426+J426</f>
        <v>48701.5</v>
      </c>
      <c r="N426" s="91">
        <v>0</v>
      </c>
      <c r="O426" s="92">
        <f t="shared" ref="O426:O427" si="108">M426-N426</f>
        <v>48701.5</v>
      </c>
    </row>
    <row r="427" spans="1:15" ht="15.6" thickBot="1" x14ac:dyDescent="0.3">
      <c r="A427" s="85"/>
      <c r="B427" s="388"/>
      <c r="C427" s="401"/>
      <c r="D427" s="94" t="s">
        <v>36</v>
      </c>
      <c r="E427" s="95">
        <v>256</v>
      </c>
      <c r="F427" s="171">
        <v>46163</v>
      </c>
      <c r="G427" s="95">
        <v>265</v>
      </c>
      <c r="H427" s="171">
        <v>46197</v>
      </c>
      <c r="I427" s="86">
        <f>G427-E427</f>
        <v>9</v>
      </c>
      <c r="J427" s="86">
        <v>1000</v>
      </c>
      <c r="K427" s="93">
        <v>1200</v>
      </c>
      <c r="L427" s="383"/>
      <c r="M427" s="90">
        <f t="shared" si="107"/>
        <v>11800</v>
      </c>
      <c r="N427" s="98"/>
      <c r="O427" s="92">
        <f t="shared" si="108"/>
        <v>11800</v>
      </c>
    </row>
    <row r="428" spans="1:15" ht="15.6" thickBot="1" x14ac:dyDescent="0.3">
      <c r="A428" s="85"/>
      <c r="B428" s="388"/>
      <c r="C428" s="401"/>
      <c r="D428" s="117" t="s">
        <v>37</v>
      </c>
      <c r="E428" s="118"/>
      <c r="F428" s="119"/>
      <c r="G428" s="118"/>
      <c r="H428" s="119"/>
      <c r="I428" s="120">
        <v>1</v>
      </c>
      <c r="J428" s="120"/>
      <c r="K428" s="120">
        <v>25000</v>
      </c>
      <c r="L428" s="383"/>
      <c r="M428" s="90">
        <f t="shared" si="107"/>
        <v>25000</v>
      </c>
      <c r="N428" s="99"/>
      <c r="O428" s="92">
        <f t="shared" ref="O428:O431" si="109">M428+L428-N428</f>
        <v>25000</v>
      </c>
    </row>
    <row r="429" spans="1:15" ht="15.6" thickBot="1" x14ac:dyDescent="0.3">
      <c r="A429" s="85"/>
      <c r="B429" s="388"/>
      <c r="C429" s="401"/>
      <c r="D429" s="94" t="s">
        <v>90</v>
      </c>
      <c r="E429" s="95"/>
      <c r="F429" s="96"/>
      <c r="G429" s="95"/>
      <c r="H429" s="96"/>
      <c r="I429" s="93"/>
      <c r="J429" s="93"/>
      <c r="K429" s="93">
        <v>0</v>
      </c>
      <c r="L429" s="383"/>
      <c r="M429" s="90">
        <f t="shared" si="107"/>
        <v>0</v>
      </c>
      <c r="N429" s="98"/>
      <c r="O429" s="92">
        <f t="shared" si="109"/>
        <v>0</v>
      </c>
    </row>
    <row r="430" spans="1:15" ht="15.6" thickBot="1" x14ac:dyDescent="0.3">
      <c r="A430" s="85"/>
      <c r="B430" s="388"/>
      <c r="C430" s="401"/>
      <c r="D430" s="94" t="s">
        <v>91</v>
      </c>
      <c r="E430" s="95"/>
      <c r="F430" s="96"/>
      <c r="G430" s="95"/>
      <c r="H430" s="96"/>
      <c r="I430" s="93">
        <v>1</v>
      </c>
      <c r="J430" s="93"/>
      <c r="K430" s="93">
        <v>2000</v>
      </c>
      <c r="L430" s="383"/>
      <c r="M430" s="90">
        <f t="shared" si="107"/>
        <v>2000</v>
      </c>
      <c r="N430" s="98"/>
      <c r="O430" s="92">
        <f t="shared" si="109"/>
        <v>2000</v>
      </c>
    </row>
    <row r="431" spans="1:15" ht="30.6" thickBot="1" x14ac:dyDescent="0.3">
      <c r="A431" s="85"/>
      <c r="B431" s="388"/>
      <c r="C431" s="401"/>
      <c r="D431" s="94" t="s">
        <v>92</v>
      </c>
      <c r="E431" s="95"/>
      <c r="F431" s="96"/>
      <c r="G431" s="95"/>
      <c r="H431" s="96"/>
      <c r="I431" s="93"/>
      <c r="J431" s="93"/>
      <c r="K431" s="93"/>
      <c r="L431" s="383"/>
      <c r="M431" s="90">
        <f t="shared" si="107"/>
        <v>0</v>
      </c>
      <c r="N431" s="98"/>
      <c r="O431" s="92">
        <f t="shared" si="109"/>
        <v>0</v>
      </c>
    </row>
    <row r="432" spans="1:15" x14ac:dyDescent="0.25">
      <c r="A432" s="85"/>
      <c r="B432" s="388"/>
      <c r="C432" s="401"/>
      <c r="D432" s="94" t="s">
        <v>189</v>
      </c>
      <c r="E432" s="95"/>
      <c r="F432" s="96"/>
      <c r="G432" s="95"/>
      <c r="H432" s="96"/>
      <c r="I432" s="93"/>
      <c r="J432" s="93"/>
      <c r="K432" s="93"/>
      <c r="L432" s="384"/>
      <c r="M432" s="90">
        <f t="shared" si="107"/>
        <v>0</v>
      </c>
      <c r="N432" s="98"/>
      <c r="O432" s="92">
        <f>L426</f>
        <v>85457.1</v>
      </c>
    </row>
    <row r="433" spans="1:15" ht="16.2" thickBot="1" x14ac:dyDescent="0.35">
      <c r="B433" s="388"/>
      <c r="C433" s="413"/>
      <c r="D433" s="123" t="s">
        <v>38</v>
      </c>
      <c r="E433" s="124"/>
      <c r="F433" s="125"/>
      <c r="G433" s="124"/>
      <c r="H433" s="125"/>
      <c r="I433" s="126"/>
      <c r="J433" s="126"/>
      <c r="K433" s="126"/>
      <c r="L433" s="127"/>
      <c r="M433" s="127"/>
      <c r="N433" s="128"/>
      <c r="O433" s="107">
        <f>SUM(O426:O432)</f>
        <v>172958.6</v>
      </c>
    </row>
    <row r="434" spans="1:15" ht="15.6" x14ac:dyDescent="0.3">
      <c r="B434" s="257"/>
      <c r="C434" s="258"/>
      <c r="D434" s="112"/>
      <c r="E434" s="138"/>
      <c r="F434" s="139"/>
      <c r="G434" s="138"/>
      <c r="H434" s="139"/>
      <c r="L434" s="140"/>
      <c r="M434" s="140"/>
      <c r="N434" s="141"/>
      <c r="O434" s="142"/>
    </row>
    <row r="435" spans="1:15" ht="15.6" x14ac:dyDescent="0.3">
      <c r="B435" s="257"/>
      <c r="C435" s="258"/>
      <c r="D435" s="112"/>
      <c r="E435" s="138"/>
      <c r="F435" s="139"/>
      <c r="G435" s="138"/>
      <c r="H435" s="139"/>
      <c r="L435" s="140"/>
      <c r="M435" s="140"/>
      <c r="N435" s="141"/>
      <c r="O435" s="142"/>
    </row>
    <row r="436" spans="1:15" ht="15.6" x14ac:dyDescent="0.3">
      <c r="B436" s="257"/>
      <c r="C436" s="258"/>
      <c r="D436" s="112"/>
      <c r="E436" s="138"/>
      <c r="F436" s="139"/>
      <c r="G436" s="138"/>
      <c r="H436" s="139"/>
      <c r="L436" s="140"/>
      <c r="M436" s="140"/>
      <c r="N436" s="141"/>
      <c r="O436" s="142"/>
    </row>
    <row r="437" spans="1:15" ht="31.8" thickBot="1" x14ac:dyDescent="0.3">
      <c r="A437" s="93"/>
      <c r="B437" s="143" t="s">
        <v>0</v>
      </c>
      <c r="C437" s="144" t="s">
        <v>1</v>
      </c>
      <c r="D437" s="143"/>
      <c r="E437" s="144" t="s">
        <v>198</v>
      </c>
      <c r="F437" s="145" t="s">
        <v>194</v>
      </c>
      <c r="G437" s="144" t="s">
        <v>196</v>
      </c>
      <c r="H437" s="145" t="s">
        <v>9</v>
      </c>
      <c r="I437" s="143" t="s">
        <v>2</v>
      </c>
      <c r="J437" s="144" t="s">
        <v>10</v>
      </c>
      <c r="K437" s="144" t="s">
        <v>13</v>
      </c>
      <c r="L437" s="144" t="s">
        <v>14</v>
      </c>
      <c r="M437" s="146" t="s">
        <v>15</v>
      </c>
      <c r="N437" s="147" t="s">
        <v>11</v>
      </c>
      <c r="O437" s="148" t="s">
        <v>12</v>
      </c>
    </row>
    <row r="438" spans="1:15" ht="15.6" thickBot="1" x14ac:dyDescent="0.3">
      <c r="A438" s="85">
        <v>3999</v>
      </c>
      <c r="B438" s="405" t="s">
        <v>129</v>
      </c>
      <c r="C438" s="392">
        <v>801</v>
      </c>
      <c r="D438" s="87" t="s">
        <v>35</v>
      </c>
      <c r="E438" s="88">
        <v>205.7</v>
      </c>
      <c r="F438" s="171">
        <v>46163</v>
      </c>
      <c r="G438" s="88">
        <v>206.3</v>
      </c>
      <c r="H438" s="171">
        <v>46197</v>
      </c>
      <c r="I438" s="86">
        <f>G438-E438</f>
        <v>0.60000000000002274</v>
      </c>
      <c r="J438" s="86"/>
      <c r="K438" s="86">
        <v>257</v>
      </c>
      <c r="L438" s="382">
        <v>68724.2</v>
      </c>
      <c r="M438" s="90">
        <f t="shared" ref="M438:M444" si="110">I438*K438+J438</f>
        <v>154.20000000000584</v>
      </c>
      <c r="N438" s="91">
        <v>0</v>
      </c>
      <c r="O438" s="92">
        <f t="shared" ref="O438:O439" si="111">M438-N438</f>
        <v>154.20000000000584</v>
      </c>
    </row>
    <row r="439" spans="1:15" ht="15.6" thickBot="1" x14ac:dyDescent="0.3">
      <c r="A439" s="85"/>
      <c r="B439" s="406"/>
      <c r="C439" s="393"/>
      <c r="D439" s="94" t="s">
        <v>36</v>
      </c>
      <c r="E439" s="95">
        <v>193</v>
      </c>
      <c r="F439" s="171">
        <v>46163</v>
      </c>
      <c r="G439" s="95">
        <v>194</v>
      </c>
      <c r="H439" s="171">
        <v>46197</v>
      </c>
      <c r="I439" s="86">
        <f>G439-E439</f>
        <v>1</v>
      </c>
      <c r="J439" s="86">
        <v>1000</v>
      </c>
      <c r="K439" s="93">
        <v>1200</v>
      </c>
      <c r="L439" s="383"/>
      <c r="M439" s="90">
        <f t="shared" si="110"/>
        <v>2200</v>
      </c>
      <c r="N439" s="98"/>
      <c r="O439" s="92">
        <f t="shared" si="111"/>
        <v>2200</v>
      </c>
    </row>
    <row r="440" spans="1:15" ht="15.6" thickBot="1" x14ac:dyDescent="0.3">
      <c r="A440" s="85"/>
      <c r="B440" s="406"/>
      <c r="C440" s="393"/>
      <c r="D440" s="117" t="s">
        <v>37</v>
      </c>
      <c r="E440" s="118"/>
      <c r="F440" s="119"/>
      <c r="G440" s="118"/>
      <c r="H440" s="119"/>
      <c r="I440" s="120">
        <v>1</v>
      </c>
      <c r="J440" s="120"/>
      <c r="K440" s="120">
        <v>15000</v>
      </c>
      <c r="L440" s="383"/>
      <c r="M440" s="90">
        <f t="shared" si="110"/>
        <v>15000</v>
      </c>
      <c r="N440" s="99"/>
      <c r="O440" s="92">
        <f t="shared" ref="O440:O443" si="112">M440+L440-N440</f>
        <v>15000</v>
      </c>
    </row>
    <row r="441" spans="1:15" ht="15.6" thickBot="1" x14ac:dyDescent="0.3">
      <c r="A441" s="85"/>
      <c r="B441" s="406"/>
      <c r="C441" s="393"/>
      <c r="D441" s="94" t="s">
        <v>90</v>
      </c>
      <c r="E441" s="95"/>
      <c r="F441" s="96"/>
      <c r="G441" s="95"/>
      <c r="H441" s="96"/>
      <c r="I441" s="93"/>
      <c r="J441" s="93"/>
      <c r="K441" s="93">
        <v>0</v>
      </c>
      <c r="L441" s="383"/>
      <c r="M441" s="90">
        <f t="shared" si="110"/>
        <v>0</v>
      </c>
      <c r="N441" s="98"/>
      <c r="O441" s="92">
        <f t="shared" si="112"/>
        <v>0</v>
      </c>
    </row>
    <row r="442" spans="1:15" ht="15.6" thickBot="1" x14ac:dyDescent="0.3">
      <c r="A442" s="85"/>
      <c r="B442" s="406"/>
      <c r="C442" s="393"/>
      <c r="D442" s="94" t="s">
        <v>91</v>
      </c>
      <c r="E442" s="95"/>
      <c r="F442" s="96"/>
      <c r="G442" s="95"/>
      <c r="H442" s="96"/>
      <c r="I442" s="93">
        <v>1</v>
      </c>
      <c r="J442" s="93"/>
      <c r="K442" s="93">
        <v>2000</v>
      </c>
      <c r="L442" s="383"/>
      <c r="M442" s="90">
        <f t="shared" si="110"/>
        <v>2000</v>
      </c>
      <c r="N442" s="98"/>
      <c r="O442" s="92">
        <f t="shared" si="112"/>
        <v>2000</v>
      </c>
    </row>
    <row r="443" spans="1:15" ht="30.6" thickBot="1" x14ac:dyDescent="0.3">
      <c r="A443" s="85"/>
      <c r="B443" s="406"/>
      <c r="C443" s="393"/>
      <c r="D443" s="94" t="s">
        <v>92</v>
      </c>
      <c r="E443" s="95"/>
      <c r="F443" s="96"/>
      <c r="G443" s="95"/>
      <c r="H443" s="96"/>
      <c r="I443" s="93"/>
      <c r="J443" s="93"/>
      <c r="K443" s="93"/>
      <c r="L443" s="383"/>
      <c r="M443" s="90">
        <f t="shared" si="110"/>
        <v>0</v>
      </c>
      <c r="N443" s="98"/>
      <c r="O443" s="92">
        <f t="shared" si="112"/>
        <v>0</v>
      </c>
    </row>
    <row r="444" spans="1:15" x14ac:dyDescent="0.25">
      <c r="A444" s="85"/>
      <c r="B444" s="406"/>
      <c r="C444" s="393"/>
      <c r="D444" s="94" t="s">
        <v>189</v>
      </c>
      <c r="E444" s="95"/>
      <c r="F444" s="96"/>
      <c r="G444" s="95"/>
      <c r="H444" s="96"/>
      <c r="I444" s="93"/>
      <c r="J444" s="93"/>
      <c r="K444" s="93"/>
      <c r="L444" s="384"/>
      <c r="M444" s="90">
        <f t="shared" si="110"/>
        <v>0</v>
      </c>
      <c r="N444" s="98"/>
      <c r="O444" s="92">
        <f>L438</f>
        <v>68724.2</v>
      </c>
    </row>
    <row r="445" spans="1:15" ht="16.2" thickBot="1" x14ac:dyDescent="0.35">
      <c r="A445" s="93"/>
      <c r="B445" s="407"/>
      <c r="C445" s="394"/>
      <c r="D445" s="123" t="s">
        <v>38</v>
      </c>
      <c r="E445" s="124"/>
      <c r="F445" s="125"/>
      <c r="G445" s="124"/>
      <c r="H445" s="125"/>
      <c r="I445" s="126"/>
      <c r="J445" s="126"/>
      <c r="K445" s="126"/>
      <c r="L445" s="127"/>
      <c r="M445" s="127"/>
      <c r="N445" s="128"/>
      <c r="O445" s="107">
        <f>SUM(O438:O444)</f>
        <v>88078.399999999994</v>
      </c>
    </row>
    <row r="446" spans="1:15" ht="15.6" x14ac:dyDescent="0.3">
      <c r="A446" s="158"/>
      <c r="B446" s="257"/>
      <c r="C446" s="259"/>
      <c r="E446" s="138"/>
      <c r="F446" s="139"/>
      <c r="G446" s="138"/>
      <c r="H446" s="139"/>
      <c r="L446" s="140"/>
      <c r="M446" s="140"/>
      <c r="N446" s="141"/>
      <c r="O446" s="142"/>
    </row>
    <row r="447" spans="1:15" ht="15.6" x14ac:dyDescent="0.3">
      <c r="A447" s="158"/>
      <c r="B447" s="257"/>
      <c r="C447" s="259"/>
      <c r="E447" s="138"/>
      <c r="F447" s="139"/>
      <c r="G447" s="138"/>
      <c r="H447" s="139"/>
      <c r="L447" s="140"/>
      <c r="M447" s="140"/>
      <c r="N447" s="141"/>
      <c r="O447" s="142"/>
    </row>
    <row r="448" spans="1:15" ht="31.8" thickBot="1" x14ac:dyDescent="0.3">
      <c r="A448" s="93"/>
      <c r="B448" s="143" t="s">
        <v>0</v>
      </c>
      <c r="C448" s="144" t="s">
        <v>1</v>
      </c>
      <c r="D448" s="143"/>
      <c r="E448" s="144" t="s">
        <v>198</v>
      </c>
      <c r="F448" s="145" t="s">
        <v>194</v>
      </c>
      <c r="G448" s="144" t="s">
        <v>196</v>
      </c>
      <c r="H448" s="145" t="s">
        <v>9</v>
      </c>
      <c r="I448" s="143" t="s">
        <v>2</v>
      </c>
      <c r="J448" s="144" t="s">
        <v>10</v>
      </c>
      <c r="K448" s="144" t="s">
        <v>13</v>
      </c>
      <c r="L448" s="144" t="s">
        <v>14</v>
      </c>
      <c r="M448" s="146" t="s">
        <v>15</v>
      </c>
      <c r="N448" s="147" t="s">
        <v>11</v>
      </c>
      <c r="O448" s="148" t="s">
        <v>12</v>
      </c>
    </row>
    <row r="449" spans="1:15" ht="15.6" thickBot="1" x14ac:dyDescent="0.3">
      <c r="A449" s="85">
        <v>1</v>
      </c>
      <c r="B449" s="405" t="s">
        <v>130</v>
      </c>
      <c r="C449" s="402" t="s">
        <v>131</v>
      </c>
      <c r="D449" s="87" t="s">
        <v>35</v>
      </c>
      <c r="E449" s="88">
        <v>8062.8</v>
      </c>
      <c r="F449" s="171">
        <v>46163</v>
      </c>
      <c r="G449" s="88">
        <v>8235</v>
      </c>
      <c r="H449" s="171">
        <v>46197</v>
      </c>
      <c r="I449" s="86">
        <f>G449-E449</f>
        <v>172.19999999999982</v>
      </c>
      <c r="J449" s="86"/>
      <c r="K449" s="86">
        <v>257</v>
      </c>
      <c r="L449" s="382">
        <v>32649.599999999999</v>
      </c>
      <c r="M449" s="90">
        <f t="shared" ref="M449:M455" si="113">I449*K449+J449</f>
        <v>44255.399999999951</v>
      </c>
      <c r="N449" s="91">
        <v>0</v>
      </c>
      <c r="O449" s="92">
        <f t="shared" ref="O449:O450" si="114">M449-N449</f>
        <v>44255.399999999951</v>
      </c>
    </row>
    <row r="450" spans="1:15" ht="15.6" thickBot="1" x14ac:dyDescent="0.3">
      <c r="A450" s="85"/>
      <c r="B450" s="406"/>
      <c r="C450" s="403"/>
      <c r="D450" s="94" t="s">
        <v>36</v>
      </c>
      <c r="E450" s="95">
        <v>277</v>
      </c>
      <c r="F450" s="171">
        <v>46163</v>
      </c>
      <c r="G450" s="95">
        <v>278</v>
      </c>
      <c r="H450" s="171">
        <v>46197</v>
      </c>
      <c r="I450" s="86">
        <f>G450-E450</f>
        <v>1</v>
      </c>
      <c r="J450" s="86">
        <v>1000</v>
      </c>
      <c r="K450" s="93">
        <v>1200</v>
      </c>
      <c r="L450" s="383"/>
      <c r="M450" s="90">
        <f t="shared" si="113"/>
        <v>2200</v>
      </c>
      <c r="N450" s="98"/>
      <c r="O450" s="92">
        <f t="shared" si="114"/>
        <v>2200</v>
      </c>
    </row>
    <row r="451" spans="1:15" ht="15.6" thickBot="1" x14ac:dyDescent="0.3">
      <c r="A451" s="85"/>
      <c r="B451" s="406"/>
      <c r="C451" s="403"/>
      <c r="D451" s="117" t="s">
        <v>37</v>
      </c>
      <c r="E451" s="118"/>
      <c r="F451" s="119"/>
      <c r="G451" s="118"/>
      <c r="H451" s="119"/>
      <c r="I451" s="120">
        <v>1</v>
      </c>
      <c r="J451" s="120"/>
      <c r="K451" s="120">
        <v>15000</v>
      </c>
      <c r="L451" s="383"/>
      <c r="M451" s="90">
        <f t="shared" si="113"/>
        <v>15000</v>
      </c>
      <c r="N451" s="99"/>
      <c r="O451" s="92">
        <f t="shared" ref="O451:O454" si="115">M451+L451-N451</f>
        <v>15000</v>
      </c>
    </row>
    <row r="452" spans="1:15" ht="15.6" thickBot="1" x14ac:dyDescent="0.3">
      <c r="A452" s="85"/>
      <c r="B452" s="406"/>
      <c r="C452" s="403"/>
      <c r="D452" s="94" t="s">
        <v>90</v>
      </c>
      <c r="E452" s="95"/>
      <c r="F452" s="96"/>
      <c r="G452" s="95"/>
      <c r="H452" s="96"/>
      <c r="I452" s="93"/>
      <c r="J452" s="93"/>
      <c r="K452" s="93">
        <v>0</v>
      </c>
      <c r="L452" s="383"/>
      <c r="M452" s="90">
        <f t="shared" si="113"/>
        <v>0</v>
      </c>
      <c r="N452" s="98"/>
      <c r="O452" s="92">
        <f t="shared" si="115"/>
        <v>0</v>
      </c>
    </row>
    <row r="453" spans="1:15" ht="15.6" thickBot="1" x14ac:dyDescent="0.3">
      <c r="A453" s="85"/>
      <c r="B453" s="406"/>
      <c r="C453" s="403"/>
      <c r="D453" s="94" t="s">
        <v>91</v>
      </c>
      <c r="E453" s="95"/>
      <c r="F453" s="96"/>
      <c r="G453" s="95"/>
      <c r="H453" s="96"/>
      <c r="I453" s="93">
        <v>1</v>
      </c>
      <c r="J453" s="93"/>
      <c r="K453" s="93">
        <v>2000</v>
      </c>
      <c r="L453" s="383"/>
      <c r="M453" s="90">
        <f t="shared" si="113"/>
        <v>2000</v>
      </c>
      <c r="N453" s="98"/>
      <c r="O453" s="92">
        <f t="shared" si="115"/>
        <v>2000</v>
      </c>
    </row>
    <row r="454" spans="1:15" ht="30.6" thickBot="1" x14ac:dyDescent="0.3">
      <c r="A454" s="85"/>
      <c r="B454" s="406"/>
      <c r="C454" s="403"/>
      <c r="D454" s="94" t="s">
        <v>92</v>
      </c>
      <c r="E454" s="95"/>
      <c r="F454" s="96"/>
      <c r="G454" s="95"/>
      <c r="H454" s="96"/>
      <c r="I454" s="93">
        <v>0</v>
      </c>
      <c r="J454" s="93"/>
      <c r="K454" s="93">
        <v>0</v>
      </c>
      <c r="L454" s="383"/>
      <c r="M454" s="90">
        <f t="shared" si="113"/>
        <v>0</v>
      </c>
      <c r="N454" s="98"/>
      <c r="O454" s="92">
        <f t="shared" si="115"/>
        <v>0</v>
      </c>
    </row>
    <row r="455" spans="1:15" x14ac:dyDescent="0.25">
      <c r="A455" s="85"/>
      <c r="B455" s="406"/>
      <c r="C455" s="403"/>
      <c r="D455" s="94" t="s">
        <v>189</v>
      </c>
      <c r="E455" s="95"/>
      <c r="F455" s="96"/>
      <c r="G455" s="95"/>
      <c r="H455" s="96"/>
      <c r="I455" s="93"/>
      <c r="J455" s="93"/>
      <c r="K455" s="93"/>
      <c r="L455" s="384"/>
      <c r="M455" s="90">
        <f t="shared" si="113"/>
        <v>0</v>
      </c>
      <c r="N455" s="98"/>
      <c r="O455" s="92">
        <f>L449</f>
        <v>32649.599999999999</v>
      </c>
    </row>
    <row r="456" spans="1:15" ht="16.2" thickBot="1" x14ac:dyDescent="0.35">
      <c r="A456" s="93"/>
      <c r="B456" s="407"/>
      <c r="C456" s="404"/>
      <c r="D456" s="123" t="s">
        <v>38</v>
      </c>
      <c r="E456" s="124"/>
      <c r="F456" s="125"/>
      <c r="G456" s="124"/>
      <c r="H456" s="125"/>
      <c r="I456" s="126"/>
      <c r="J456" s="126"/>
      <c r="K456" s="126"/>
      <c r="L456" s="127"/>
      <c r="M456" s="127"/>
      <c r="N456" s="128"/>
      <c r="O456" s="107">
        <f>SUM(O449:O455)</f>
        <v>96104.999999999942</v>
      </c>
    </row>
    <row r="457" spans="1:15" ht="15.6" x14ac:dyDescent="0.3">
      <c r="A457" s="93"/>
      <c r="B457" s="150"/>
      <c r="C457" s="151"/>
      <c r="D457" s="112"/>
      <c r="E457" s="138"/>
      <c r="F457" s="139"/>
      <c r="G457" s="138"/>
      <c r="H457" s="139"/>
      <c r="L457" s="140"/>
      <c r="M457" s="140"/>
      <c r="N457" s="141"/>
      <c r="O457" s="142"/>
    </row>
    <row r="458" spans="1:15" ht="31.8" thickBot="1" x14ac:dyDescent="0.3">
      <c r="A458" s="93"/>
      <c r="B458" s="143" t="s">
        <v>0</v>
      </c>
      <c r="C458" s="144" t="s">
        <v>1</v>
      </c>
      <c r="D458" s="143"/>
      <c r="E458" s="144" t="s">
        <v>198</v>
      </c>
      <c r="F458" s="145" t="s">
        <v>194</v>
      </c>
      <c r="G458" s="144" t="s">
        <v>196</v>
      </c>
      <c r="H458" s="145" t="s">
        <v>9</v>
      </c>
      <c r="I458" s="143" t="s">
        <v>2</v>
      </c>
      <c r="J458" s="144" t="s">
        <v>10</v>
      </c>
      <c r="K458" s="144" t="s">
        <v>13</v>
      </c>
      <c r="L458" s="144" t="s">
        <v>14</v>
      </c>
      <c r="M458" s="146" t="s">
        <v>15</v>
      </c>
      <c r="N458" s="147" t="s">
        <v>11</v>
      </c>
      <c r="O458" s="148" t="s">
        <v>12</v>
      </c>
    </row>
    <row r="459" spans="1:15" ht="15.6" thickBot="1" x14ac:dyDescent="0.3">
      <c r="A459" s="85">
        <v>1</v>
      </c>
      <c r="B459" s="405" t="s">
        <v>101</v>
      </c>
      <c r="C459" s="392">
        <v>803</v>
      </c>
      <c r="D459" s="87" t="s">
        <v>35</v>
      </c>
      <c r="E459" s="311">
        <v>180.9</v>
      </c>
      <c r="F459" s="171">
        <v>46163</v>
      </c>
      <c r="G459" s="311">
        <v>182.9</v>
      </c>
      <c r="H459" s="171">
        <v>46197</v>
      </c>
      <c r="I459" s="86">
        <f>G459-E459</f>
        <v>2</v>
      </c>
      <c r="J459" s="86"/>
      <c r="K459" s="86">
        <v>257</v>
      </c>
      <c r="L459" s="382">
        <v>17256.400000000001</v>
      </c>
      <c r="M459" s="90">
        <f t="shared" ref="M459:M465" si="116">I459*K459+J459</f>
        <v>514</v>
      </c>
      <c r="N459" s="91">
        <v>0</v>
      </c>
      <c r="O459" s="92">
        <f t="shared" ref="O459:O460" si="117">M459-N459</f>
        <v>514</v>
      </c>
    </row>
    <row r="460" spans="1:15" ht="15.6" thickBot="1" x14ac:dyDescent="0.3">
      <c r="A460" s="310"/>
      <c r="B460" s="406"/>
      <c r="C460" s="393"/>
      <c r="D460" s="94" t="s">
        <v>36</v>
      </c>
      <c r="E460" s="269">
        <v>0</v>
      </c>
      <c r="F460" s="89">
        <v>46163</v>
      </c>
      <c r="G460" s="269">
        <v>0</v>
      </c>
      <c r="H460" s="89">
        <v>46197</v>
      </c>
      <c r="I460" s="86">
        <f>G460-E460</f>
        <v>0</v>
      </c>
      <c r="J460" s="86">
        <v>0</v>
      </c>
      <c r="K460" s="93">
        <v>1200</v>
      </c>
      <c r="L460" s="383"/>
      <c r="M460" s="312">
        <f t="shared" si="116"/>
        <v>0</v>
      </c>
      <c r="N460" s="323"/>
      <c r="O460" s="314">
        <f t="shared" si="117"/>
        <v>0</v>
      </c>
    </row>
    <row r="461" spans="1:15" ht="15.6" thickBot="1" x14ac:dyDescent="0.3">
      <c r="A461" s="85"/>
      <c r="B461" s="406"/>
      <c r="C461" s="393"/>
      <c r="D461" s="117" t="s">
        <v>37</v>
      </c>
      <c r="E461" s="118"/>
      <c r="F461" s="119"/>
      <c r="G461" s="118"/>
      <c r="H461" s="119"/>
      <c r="I461" s="120">
        <v>1</v>
      </c>
      <c r="J461" s="120"/>
      <c r="K461" s="120">
        <v>15000</v>
      </c>
      <c r="L461" s="383"/>
      <c r="M461" s="90">
        <f t="shared" si="116"/>
        <v>15000</v>
      </c>
      <c r="N461" s="99"/>
      <c r="O461" s="92">
        <f t="shared" ref="O461:O464" si="118">M461+L461-N461</f>
        <v>15000</v>
      </c>
    </row>
    <row r="462" spans="1:15" ht="15.6" thickBot="1" x14ac:dyDescent="0.3">
      <c r="A462" s="85"/>
      <c r="B462" s="406"/>
      <c r="C462" s="393"/>
      <c r="D462" s="94" t="s">
        <v>90</v>
      </c>
      <c r="E462" s="156"/>
      <c r="F462" s="274"/>
      <c r="G462" s="156"/>
      <c r="H462" s="274"/>
      <c r="I462" s="322"/>
      <c r="J462" s="275"/>
      <c r="K462" s="275">
        <v>0</v>
      </c>
      <c r="L462" s="383"/>
      <c r="M462" s="267">
        <f t="shared" si="116"/>
        <v>0</v>
      </c>
      <c r="N462" s="272"/>
      <c r="O462" s="273">
        <f t="shared" si="118"/>
        <v>0</v>
      </c>
    </row>
    <row r="463" spans="1:15" ht="15.6" thickBot="1" x14ac:dyDescent="0.3">
      <c r="A463" s="85"/>
      <c r="B463" s="406"/>
      <c r="C463" s="393"/>
      <c r="D463" s="94" t="s">
        <v>91</v>
      </c>
      <c r="E463" s="95"/>
      <c r="F463" s="96"/>
      <c r="G463" s="95"/>
      <c r="H463" s="96"/>
      <c r="I463" s="93">
        <v>1</v>
      </c>
      <c r="J463" s="93"/>
      <c r="K463" s="93">
        <v>2000</v>
      </c>
      <c r="L463" s="383"/>
      <c r="M463" s="90">
        <f t="shared" si="116"/>
        <v>2000</v>
      </c>
      <c r="N463" s="98"/>
      <c r="O463" s="92">
        <f t="shared" si="118"/>
        <v>2000</v>
      </c>
    </row>
    <row r="464" spans="1:15" ht="30.6" thickBot="1" x14ac:dyDescent="0.3">
      <c r="A464" s="85"/>
      <c r="B464" s="406"/>
      <c r="C464" s="393"/>
      <c r="D464" s="94" t="s">
        <v>92</v>
      </c>
      <c r="E464" s="95"/>
      <c r="F464" s="96"/>
      <c r="G464" s="95"/>
      <c r="H464" s="96"/>
      <c r="I464" s="93">
        <v>0</v>
      </c>
      <c r="J464" s="93"/>
      <c r="K464" s="93">
        <v>0</v>
      </c>
      <c r="L464" s="383"/>
      <c r="M464" s="90">
        <f t="shared" si="116"/>
        <v>0</v>
      </c>
      <c r="N464" s="98"/>
      <c r="O464" s="92">
        <f t="shared" si="118"/>
        <v>0</v>
      </c>
    </row>
    <row r="465" spans="1:15" x14ac:dyDescent="0.25">
      <c r="A465" s="85"/>
      <c r="B465" s="406"/>
      <c r="C465" s="393"/>
      <c r="D465" s="94" t="s">
        <v>189</v>
      </c>
      <c r="E465" s="95"/>
      <c r="F465" s="96"/>
      <c r="G465" s="95"/>
      <c r="H465" s="96"/>
      <c r="I465" s="93"/>
      <c r="J465" s="93"/>
      <c r="K465" s="93"/>
      <c r="L465" s="384"/>
      <c r="M465" s="90">
        <f t="shared" si="116"/>
        <v>0</v>
      </c>
      <c r="N465" s="98"/>
      <c r="O465" s="92">
        <f>L459</f>
        <v>17256.400000000001</v>
      </c>
    </row>
    <row r="466" spans="1:15" ht="16.2" thickBot="1" x14ac:dyDescent="0.35">
      <c r="A466" s="93"/>
      <c r="B466" s="407"/>
      <c r="C466" s="394"/>
      <c r="D466" s="123" t="s">
        <v>38</v>
      </c>
      <c r="E466" s="124"/>
      <c r="F466" s="125"/>
      <c r="G466" s="124"/>
      <c r="H466" s="125"/>
      <c r="I466" s="126"/>
      <c r="J466" s="126"/>
      <c r="K466" s="126"/>
      <c r="L466" s="127"/>
      <c r="M466" s="127"/>
      <c r="N466" s="128"/>
      <c r="O466" s="107">
        <f>SUM(O459:O465)</f>
        <v>34770.400000000001</v>
      </c>
    </row>
    <row r="467" spans="1:15" ht="15.6" x14ac:dyDescent="0.3">
      <c r="A467" s="93"/>
      <c r="B467" s="150"/>
      <c r="C467" s="137"/>
      <c r="D467" s="112"/>
      <c r="E467" s="138"/>
      <c r="F467" s="139"/>
      <c r="G467" s="138"/>
      <c r="H467" s="139"/>
      <c r="L467" s="140"/>
      <c r="M467" s="140"/>
      <c r="N467" s="141"/>
      <c r="O467" s="142"/>
    </row>
    <row r="468" spans="1:15" ht="15.6" x14ac:dyDescent="0.3">
      <c r="A468" s="93"/>
      <c r="B468" s="150"/>
      <c r="C468" s="137"/>
      <c r="D468" s="112"/>
      <c r="E468" s="138"/>
      <c r="F468" s="139"/>
      <c r="G468" s="138"/>
      <c r="H468" s="139"/>
      <c r="L468" s="140"/>
      <c r="M468" s="140"/>
      <c r="N468" s="141"/>
      <c r="O468" s="142"/>
    </row>
    <row r="469" spans="1:15" ht="31.8" thickBot="1" x14ac:dyDescent="0.3">
      <c r="A469" s="93"/>
      <c r="B469" s="143" t="s">
        <v>0</v>
      </c>
      <c r="C469" s="144" t="s">
        <v>1</v>
      </c>
      <c r="D469" s="143"/>
      <c r="E469" s="144" t="s">
        <v>198</v>
      </c>
      <c r="F469" s="145" t="s">
        <v>194</v>
      </c>
      <c r="G469" s="144" t="s">
        <v>196</v>
      </c>
      <c r="H469" s="145" t="s">
        <v>9</v>
      </c>
      <c r="I469" s="143" t="s">
        <v>2</v>
      </c>
      <c r="J469" s="144" t="s">
        <v>10</v>
      </c>
      <c r="K469" s="144" t="s">
        <v>13</v>
      </c>
      <c r="L469" s="144" t="s">
        <v>14</v>
      </c>
      <c r="M469" s="146" t="s">
        <v>15</v>
      </c>
      <c r="N469" s="147" t="s">
        <v>11</v>
      </c>
      <c r="O469" s="148" t="s">
        <v>12</v>
      </c>
    </row>
    <row r="470" spans="1:15" ht="15.6" thickBot="1" x14ac:dyDescent="0.3">
      <c r="A470" s="85">
        <v>1</v>
      </c>
      <c r="B470" s="405" t="s">
        <v>132</v>
      </c>
      <c r="C470" s="392">
        <v>804</v>
      </c>
      <c r="D470" s="87" t="s">
        <v>35</v>
      </c>
      <c r="E470" s="88">
        <v>1884.2</v>
      </c>
      <c r="F470" s="171">
        <v>46163</v>
      </c>
      <c r="G470" s="88">
        <v>2018.5</v>
      </c>
      <c r="H470" s="171">
        <v>46197</v>
      </c>
      <c r="I470" s="86">
        <f>G470-E470</f>
        <v>134.29999999999995</v>
      </c>
      <c r="J470" s="86"/>
      <c r="K470" s="86">
        <v>257</v>
      </c>
      <c r="L470" s="382">
        <v>-0.6</v>
      </c>
      <c r="M470" s="90">
        <f t="shared" ref="M470:M476" si="119">I470*K470+J470</f>
        <v>34515.099999999991</v>
      </c>
      <c r="N470" s="91">
        <v>0</v>
      </c>
      <c r="O470" s="92">
        <f t="shared" ref="O470:O471" si="120">M470-N470</f>
        <v>34515.099999999991</v>
      </c>
    </row>
    <row r="471" spans="1:15" ht="15.6" thickBot="1" x14ac:dyDescent="0.3">
      <c r="A471" s="85"/>
      <c r="B471" s="406"/>
      <c r="C471" s="393"/>
      <c r="D471" s="94" t="s">
        <v>36</v>
      </c>
      <c r="E471" s="95">
        <v>351</v>
      </c>
      <c r="F471" s="171">
        <v>46163</v>
      </c>
      <c r="G471" s="95">
        <v>362</v>
      </c>
      <c r="H471" s="171">
        <v>46197</v>
      </c>
      <c r="I471" s="86">
        <f>G471-E471</f>
        <v>11</v>
      </c>
      <c r="J471" s="86">
        <v>1000</v>
      </c>
      <c r="K471" s="93">
        <v>1200</v>
      </c>
      <c r="L471" s="383"/>
      <c r="M471" s="90">
        <f t="shared" si="119"/>
        <v>14200</v>
      </c>
      <c r="N471" s="98"/>
      <c r="O471" s="92">
        <f t="shared" si="120"/>
        <v>14200</v>
      </c>
    </row>
    <row r="472" spans="1:15" ht="15.6" thickBot="1" x14ac:dyDescent="0.3">
      <c r="A472" s="85"/>
      <c r="B472" s="406"/>
      <c r="C472" s="393"/>
      <c r="D472" s="117" t="s">
        <v>37</v>
      </c>
      <c r="E472" s="118"/>
      <c r="F472" s="119"/>
      <c r="G472" s="118"/>
      <c r="H472" s="119"/>
      <c r="I472" s="120">
        <v>1</v>
      </c>
      <c r="J472" s="120"/>
      <c r="K472" s="120">
        <v>25000</v>
      </c>
      <c r="L472" s="383"/>
      <c r="M472" s="90">
        <f t="shared" si="119"/>
        <v>25000</v>
      </c>
      <c r="N472" s="99"/>
      <c r="O472" s="92">
        <f t="shared" ref="O472:O475" si="121">M472+L472-N472</f>
        <v>25000</v>
      </c>
    </row>
    <row r="473" spans="1:15" ht="15.6" thickBot="1" x14ac:dyDescent="0.3">
      <c r="A473" s="85"/>
      <c r="B473" s="406"/>
      <c r="C473" s="393"/>
      <c r="D473" s="94" t="s">
        <v>90</v>
      </c>
      <c r="E473" s="95"/>
      <c r="F473" s="96"/>
      <c r="G473" s="95"/>
      <c r="H473" s="96"/>
      <c r="I473" s="93"/>
      <c r="J473" s="93"/>
      <c r="K473" s="93">
        <v>0</v>
      </c>
      <c r="L473" s="383"/>
      <c r="M473" s="90">
        <f t="shared" si="119"/>
        <v>0</v>
      </c>
      <c r="N473" s="98"/>
      <c r="O473" s="92">
        <f t="shared" si="121"/>
        <v>0</v>
      </c>
    </row>
    <row r="474" spans="1:15" ht="15.6" thickBot="1" x14ac:dyDescent="0.3">
      <c r="A474" s="85"/>
      <c r="B474" s="406"/>
      <c r="C474" s="393"/>
      <c r="D474" s="94" t="s">
        <v>91</v>
      </c>
      <c r="E474" s="95"/>
      <c r="F474" s="96"/>
      <c r="G474" s="95"/>
      <c r="H474" s="96"/>
      <c r="I474" s="93">
        <v>1</v>
      </c>
      <c r="J474" s="93"/>
      <c r="K474" s="93">
        <v>2000</v>
      </c>
      <c r="L474" s="383"/>
      <c r="M474" s="90">
        <f t="shared" si="119"/>
        <v>2000</v>
      </c>
      <c r="N474" s="98"/>
      <c r="O474" s="92">
        <f t="shared" si="121"/>
        <v>2000</v>
      </c>
    </row>
    <row r="475" spans="1:15" ht="30.6" thickBot="1" x14ac:dyDescent="0.3">
      <c r="A475" s="85"/>
      <c r="B475" s="406"/>
      <c r="C475" s="393"/>
      <c r="D475" s="94" t="s">
        <v>92</v>
      </c>
      <c r="E475" s="95"/>
      <c r="F475" s="96"/>
      <c r="G475" s="95"/>
      <c r="H475" s="96"/>
      <c r="I475" s="93">
        <v>0</v>
      </c>
      <c r="J475" s="93"/>
      <c r="K475" s="93">
        <v>0</v>
      </c>
      <c r="L475" s="383"/>
      <c r="M475" s="90">
        <f t="shared" si="119"/>
        <v>0</v>
      </c>
      <c r="N475" s="98"/>
      <c r="O475" s="92">
        <f t="shared" si="121"/>
        <v>0</v>
      </c>
    </row>
    <row r="476" spans="1:15" x14ac:dyDescent="0.25">
      <c r="A476" s="85"/>
      <c r="B476" s="406"/>
      <c r="C476" s="393"/>
      <c r="D476" s="94" t="s">
        <v>189</v>
      </c>
      <c r="E476" s="95"/>
      <c r="F476" s="96"/>
      <c r="G476" s="95"/>
      <c r="H476" s="96"/>
      <c r="I476" s="93"/>
      <c r="J476" s="93"/>
      <c r="K476" s="93"/>
      <c r="L476" s="384"/>
      <c r="M476" s="90">
        <f t="shared" si="119"/>
        <v>0</v>
      </c>
      <c r="N476" s="98"/>
      <c r="O476" s="92">
        <f>L470</f>
        <v>-0.6</v>
      </c>
    </row>
    <row r="477" spans="1:15" ht="16.2" thickBot="1" x14ac:dyDescent="0.35">
      <c r="A477" s="93"/>
      <c r="B477" s="407"/>
      <c r="C477" s="394"/>
      <c r="D477" s="123" t="s">
        <v>38</v>
      </c>
      <c r="E477" s="124"/>
      <c r="F477" s="125"/>
      <c r="G477" s="124"/>
      <c r="H477" s="125"/>
      <c r="I477" s="126"/>
      <c r="J477" s="126"/>
      <c r="K477" s="126"/>
      <c r="L477" s="127"/>
      <c r="M477" s="127"/>
      <c r="N477" s="128"/>
      <c r="O477" s="107">
        <f>SUM(O470:O476)</f>
        <v>75714.499999999985</v>
      </c>
    </row>
    <row r="478" spans="1:15" ht="15.6" x14ac:dyDescent="0.3">
      <c r="A478" s="93"/>
      <c r="B478" s="93"/>
      <c r="C478" s="93"/>
      <c r="D478" s="112"/>
      <c r="E478" s="138"/>
      <c r="F478" s="139"/>
      <c r="G478" s="138"/>
      <c r="H478" s="139"/>
      <c r="L478" s="140"/>
      <c r="M478" s="140"/>
      <c r="N478" s="141"/>
      <c r="O478" s="142"/>
    </row>
    <row r="479" spans="1:15" ht="31.8" thickBot="1" x14ac:dyDescent="0.3">
      <c r="A479" s="93"/>
      <c r="B479" s="143" t="s">
        <v>0</v>
      </c>
      <c r="C479" s="144" t="s">
        <v>1</v>
      </c>
      <c r="D479" s="143"/>
      <c r="E479" s="144" t="s">
        <v>198</v>
      </c>
      <c r="F479" s="145" t="s">
        <v>194</v>
      </c>
      <c r="G479" s="144" t="s">
        <v>196</v>
      </c>
      <c r="H479" s="145" t="s">
        <v>9</v>
      </c>
      <c r="I479" s="143" t="s">
        <v>2</v>
      </c>
      <c r="J479" s="144" t="s">
        <v>10</v>
      </c>
      <c r="K479" s="144" t="s">
        <v>13</v>
      </c>
      <c r="L479" s="144" t="s">
        <v>14</v>
      </c>
      <c r="M479" s="146" t="s">
        <v>15</v>
      </c>
      <c r="N479" s="147" t="s">
        <v>11</v>
      </c>
      <c r="O479" s="148" t="s">
        <v>12</v>
      </c>
    </row>
    <row r="480" spans="1:15" ht="15.6" thickBot="1" x14ac:dyDescent="0.3">
      <c r="A480" s="85">
        <v>1</v>
      </c>
      <c r="B480" s="405" t="s">
        <v>133</v>
      </c>
      <c r="C480" s="402" t="s">
        <v>134</v>
      </c>
      <c r="D480" s="87" t="s">
        <v>35</v>
      </c>
      <c r="E480" s="88">
        <v>41.3</v>
      </c>
      <c r="F480" s="171">
        <v>46163</v>
      </c>
      <c r="G480" s="88">
        <v>41.3</v>
      </c>
      <c r="H480" s="171">
        <v>46197</v>
      </c>
      <c r="I480" s="86">
        <f>G480-E480</f>
        <v>0</v>
      </c>
      <c r="J480" s="86"/>
      <c r="K480" s="86">
        <v>257</v>
      </c>
      <c r="L480" s="382">
        <v>0.1</v>
      </c>
      <c r="M480" s="90">
        <f t="shared" ref="M480:M486" si="122">I480*K480+J480</f>
        <v>0</v>
      </c>
      <c r="N480" s="91">
        <v>0</v>
      </c>
      <c r="O480" s="92">
        <f t="shared" ref="O480:O481" si="123">M480-N480</f>
        <v>0</v>
      </c>
    </row>
    <row r="481" spans="1:15" ht="15.6" thickBot="1" x14ac:dyDescent="0.3">
      <c r="A481" s="85"/>
      <c r="B481" s="406"/>
      <c r="C481" s="403"/>
      <c r="D481" s="94" t="s">
        <v>36</v>
      </c>
      <c r="E481" s="95">
        <v>3</v>
      </c>
      <c r="F481" s="171">
        <v>46163</v>
      </c>
      <c r="G481" s="95">
        <v>3</v>
      </c>
      <c r="H481" s="171">
        <v>46197</v>
      </c>
      <c r="I481" s="86">
        <f>G481-E481</f>
        <v>0</v>
      </c>
      <c r="J481" s="86">
        <v>0</v>
      </c>
      <c r="K481" s="93">
        <v>1200</v>
      </c>
      <c r="L481" s="383"/>
      <c r="M481" s="267">
        <f t="shared" si="122"/>
        <v>0</v>
      </c>
      <c r="N481" s="98"/>
      <c r="O481" s="92">
        <f t="shared" si="123"/>
        <v>0</v>
      </c>
    </row>
    <row r="482" spans="1:15" ht="15.6" thickBot="1" x14ac:dyDescent="0.3">
      <c r="A482" s="85"/>
      <c r="B482" s="406"/>
      <c r="C482" s="403"/>
      <c r="D482" s="117" t="s">
        <v>37</v>
      </c>
      <c r="E482" s="118"/>
      <c r="F482" s="119"/>
      <c r="G482" s="118"/>
      <c r="H482" s="119"/>
      <c r="I482" s="120">
        <v>1</v>
      </c>
      <c r="J482" s="120"/>
      <c r="K482" s="120">
        <v>15000</v>
      </c>
      <c r="L482" s="383"/>
      <c r="M482" s="90">
        <f t="shared" si="122"/>
        <v>15000</v>
      </c>
      <c r="N482" s="99"/>
      <c r="O482" s="92">
        <f t="shared" ref="O482:O485" si="124">M482+L482-N482</f>
        <v>15000</v>
      </c>
    </row>
    <row r="483" spans="1:15" ht="15.6" thickBot="1" x14ac:dyDescent="0.3">
      <c r="A483" s="85"/>
      <c r="B483" s="406"/>
      <c r="C483" s="403"/>
      <c r="D483" s="94" t="s">
        <v>90</v>
      </c>
      <c r="E483" s="95"/>
      <c r="F483" s="96"/>
      <c r="G483" s="95"/>
      <c r="H483" s="96"/>
      <c r="I483" s="93"/>
      <c r="J483" s="93"/>
      <c r="K483" s="93">
        <v>0</v>
      </c>
      <c r="L483" s="383"/>
      <c r="M483" s="90">
        <f t="shared" si="122"/>
        <v>0</v>
      </c>
      <c r="N483" s="98"/>
      <c r="O483" s="92">
        <f t="shared" si="124"/>
        <v>0</v>
      </c>
    </row>
    <row r="484" spans="1:15" ht="15.6" thickBot="1" x14ac:dyDescent="0.3">
      <c r="A484" s="85"/>
      <c r="B484" s="406"/>
      <c r="C484" s="403"/>
      <c r="D484" s="94" t="s">
        <v>91</v>
      </c>
      <c r="E484" s="95"/>
      <c r="F484" s="96"/>
      <c r="G484" s="95"/>
      <c r="H484" s="96"/>
      <c r="I484" s="93">
        <v>0</v>
      </c>
      <c r="J484" s="93"/>
      <c r="K484" s="93">
        <v>2000</v>
      </c>
      <c r="L484" s="383"/>
      <c r="M484" s="90">
        <f t="shared" si="122"/>
        <v>0</v>
      </c>
      <c r="N484" s="98"/>
      <c r="O484" s="92">
        <f t="shared" si="124"/>
        <v>0</v>
      </c>
    </row>
    <row r="485" spans="1:15" ht="30.6" thickBot="1" x14ac:dyDescent="0.3">
      <c r="A485" s="85"/>
      <c r="B485" s="406"/>
      <c r="C485" s="403"/>
      <c r="D485" s="94" t="s">
        <v>92</v>
      </c>
      <c r="E485" s="95"/>
      <c r="F485" s="96"/>
      <c r="G485" s="95"/>
      <c r="H485" s="96"/>
      <c r="I485" s="93">
        <v>0</v>
      </c>
      <c r="J485" s="93"/>
      <c r="K485" s="93">
        <v>0</v>
      </c>
      <c r="L485" s="383"/>
      <c r="M485" s="90">
        <f t="shared" si="122"/>
        <v>0</v>
      </c>
      <c r="N485" s="98"/>
      <c r="O485" s="92">
        <f t="shared" si="124"/>
        <v>0</v>
      </c>
    </row>
    <row r="486" spans="1:15" x14ac:dyDescent="0.25">
      <c r="A486" s="85"/>
      <c r="B486" s="406"/>
      <c r="C486" s="403"/>
      <c r="D486" s="94" t="s">
        <v>189</v>
      </c>
      <c r="E486" s="95"/>
      <c r="F486" s="96"/>
      <c r="G486" s="95"/>
      <c r="H486" s="96"/>
      <c r="I486" s="93"/>
      <c r="J486" s="93"/>
      <c r="K486" s="93"/>
      <c r="L486" s="384"/>
      <c r="M486" s="90">
        <f t="shared" si="122"/>
        <v>0</v>
      </c>
      <c r="N486" s="98"/>
      <c r="O486" s="92">
        <f>L480</f>
        <v>0.1</v>
      </c>
    </row>
    <row r="487" spans="1:15" ht="16.2" thickBot="1" x14ac:dyDescent="0.35">
      <c r="A487" s="93"/>
      <c r="B487" s="407"/>
      <c r="C487" s="404"/>
      <c r="D487" s="123" t="s">
        <v>38</v>
      </c>
      <c r="E487" s="124"/>
      <c r="F487" s="125"/>
      <c r="G487" s="124"/>
      <c r="H487" s="125"/>
      <c r="I487" s="126"/>
      <c r="J487" s="126"/>
      <c r="K487" s="126"/>
      <c r="L487" s="127"/>
      <c r="M487" s="127"/>
      <c r="N487" s="128"/>
      <c r="O487" s="107">
        <f>SUM(O480:O486)</f>
        <v>15000.1</v>
      </c>
    </row>
    <row r="488" spans="1:15" ht="15.6" x14ac:dyDescent="0.3">
      <c r="A488" s="93"/>
      <c r="B488" s="150"/>
      <c r="C488" s="151"/>
      <c r="D488" s="112"/>
      <c r="E488" s="138"/>
      <c r="F488" s="139"/>
      <c r="G488" s="138"/>
      <c r="H488" s="139"/>
      <c r="L488" s="140"/>
      <c r="M488" s="140"/>
      <c r="N488" s="141"/>
      <c r="O488" s="142"/>
    </row>
    <row r="489" spans="1:15" ht="25.5" customHeight="1" x14ac:dyDescent="0.3">
      <c r="A489" s="93"/>
      <c r="B489" s="150"/>
      <c r="C489" s="151"/>
      <c r="D489" s="112"/>
      <c r="E489" s="138"/>
      <c r="F489" s="139"/>
      <c r="G489" s="138"/>
      <c r="H489" s="139"/>
      <c r="L489" s="140"/>
      <c r="M489" s="140"/>
      <c r="N489" s="141"/>
      <c r="O489" s="142"/>
    </row>
    <row r="490" spans="1:15" ht="15.6" x14ac:dyDescent="0.3">
      <c r="A490" s="93"/>
      <c r="B490" s="150"/>
      <c r="C490" s="151"/>
      <c r="D490" s="112"/>
      <c r="E490" s="138"/>
      <c r="F490" s="139"/>
      <c r="G490" s="138"/>
      <c r="H490" s="139"/>
      <c r="L490" s="140"/>
      <c r="M490" s="140"/>
      <c r="N490" s="141"/>
      <c r="O490" s="142"/>
    </row>
    <row r="491" spans="1:15" ht="70.5" customHeight="1" x14ac:dyDescent="0.3">
      <c r="A491" s="93"/>
      <c r="B491" s="93"/>
      <c r="C491" s="93"/>
      <c r="D491" s="112"/>
      <c r="E491" s="138"/>
      <c r="F491" s="139"/>
      <c r="G491" s="138"/>
      <c r="H491" s="139"/>
      <c r="L491" s="140"/>
      <c r="M491" s="140"/>
      <c r="N491" s="141"/>
      <c r="O491" s="142"/>
    </row>
    <row r="492" spans="1:15" ht="31.8" thickBot="1" x14ac:dyDescent="0.3">
      <c r="A492" s="93"/>
      <c r="B492" s="143" t="s">
        <v>0</v>
      </c>
      <c r="C492" s="144" t="s">
        <v>1</v>
      </c>
      <c r="D492" s="143"/>
      <c r="E492" s="144" t="s">
        <v>198</v>
      </c>
      <c r="F492" s="145" t="s">
        <v>194</v>
      </c>
      <c r="G492" s="144" t="s">
        <v>196</v>
      </c>
      <c r="H492" s="145" t="s">
        <v>9</v>
      </c>
      <c r="I492" s="143" t="s">
        <v>2</v>
      </c>
      <c r="J492" s="144" t="s">
        <v>10</v>
      </c>
      <c r="K492" s="144" t="s">
        <v>13</v>
      </c>
      <c r="L492" s="144" t="s">
        <v>14</v>
      </c>
      <c r="M492" s="146" t="s">
        <v>15</v>
      </c>
      <c r="N492" s="147" t="s">
        <v>11</v>
      </c>
      <c r="O492" s="148" t="s">
        <v>12</v>
      </c>
    </row>
    <row r="493" spans="1:15" ht="15.6" thickBot="1" x14ac:dyDescent="0.3">
      <c r="A493" s="85">
        <v>1</v>
      </c>
      <c r="B493" s="405" t="s">
        <v>135</v>
      </c>
      <c r="C493" s="392">
        <v>806</v>
      </c>
      <c r="D493" s="87" t="s">
        <v>35</v>
      </c>
      <c r="E493" s="88">
        <v>318.2</v>
      </c>
      <c r="F493" s="171">
        <v>46163</v>
      </c>
      <c r="G493" s="88">
        <v>324</v>
      </c>
      <c r="H493" s="171">
        <v>46197</v>
      </c>
      <c r="I493" s="86">
        <f>G493-E493</f>
        <v>5.8000000000000114</v>
      </c>
      <c r="J493" s="86"/>
      <c r="K493" s="86">
        <v>257</v>
      </c>
      <c r="L493" s="382">
        <v>0.1</v>
      </c>
      <c r="M493" s="90">
        <f t="shared" ref="M493:M499" si="125">I493*K493+J493</f>
        <v>1490.6000000000029</v>
      </c>
      <c r="N493" s="91">
        <v>0</v>
      </c>
      <c r="O493" s="92">
        <f t="shared" ref="O493:O494" si="126">M493-N493</f>
        <v>1490.6000000000029</v>
      </c>
    </row>
    <row r="494" spans="1:15" ht="15.6" thickBot="1" x14ac:dyDescent="0.3">
      <c r="A494" s="85"/>
      <c r="B494" s="406"/>
      <c r="C494" s="393"/>
      <c r="D494" s="94" t="s">
        <v>36</v>
      </c>
      <c r="E494" s="95">
        <v>337</v>
      </c>
      <c r="F494" s="171">
        <v>46163</v>
      </c>
      <c r="G494" s="95">
        <v>338</v>
      </c>
      <c r="H494" s="171">
        <v>46197</v>
      </c>
      <c r="I494" s="86">
        <f>G494-E494</f>
        <v>1</v>
      </c>
      <c r="J494" s="86">
        <v>1000</v>
      </c>
      <c r="K494" s="93">
        <v>1200</v>
      </c>
      <c r="L494" s="383"/>
      <c r="M494" s="90">
        <f t="shared" si="125"/>
        <v>2200</v>
      </c>
      <c r="N494" s="98"/>
      <c r="O494" s="92">
        <f t="shared" si="126"/>
        <v>2200</v>
      </c>
    </row>
    <row r="495" spans="1:15" ht="15.6" thickBot="1" x14ac:dyDescent="0.3">
      <c r="A495" s="85"/>
      <c r="B495" s="406"/>
      <c r="C495" s="393"/>
      <c r="D495" s="117" t="s">
        <v>37</v>
      </c>
      <c r="E495" s="118"/>
      <c r="F495" s="119"/>
      <c r="G495" s="118"/>
      <c r="H495" s="119"/>
      <c r="I495" s="120">
        <v>1</v>
      </c>
      <c r="J495" s="120"/>
      <c r="K495" s="120">
        <v>15000</v>
      </c>
      <c r="L495" s="383"/>
      <c r="M495" s="90">
        <f t="shared" si="125"/>
        <v>15000</v>
      </c>
      <c r="N495" s="99"/>
      <c r="O495" s="92">
        <f t="shared" ref="O495:O498" si="127">M495+L495-N495</f>
        <v>15000</v>
      </c>
    </row>
    <row r="496" spans="1:15" ht="15.6" thickBot="1" x14ac:dyDescent="0.3">
      <c r="A496" s="85"/>
      <c r="B496" s="406"/>
      <c r="C496" s="393"/>
      <c r="D496" s="94" t="s">
        <v>90</v>
      </c>
      <c r="E496" s="95"/>
      <c r="F496" s="96"/>
      <c r="G496" s="95"/>
      <c r="H496" s="96"/>
      <c r="I496" s="93"/>
      <c r="J496" s="93"/>
      <c r="K496" s="93">
        <v>0</v>
      </c>
      <c r="L496" s="383"/>
      <c r="M496" s="90">
        <f t="shared" si="125"/>
        <v>0</v>
      </c>
      <c r="N496" s="98"/>
      <c r="O496" s="92">
        <f t="shared" si="127"/>
        <v>0</v>
      </c>
    </row>
    <row r="497" spans="1:15" ht="15.6" thickBot="1" x14ac:dyDescent="0.3">
      <c r="A497" s="85"/>
      <c r="B497" s="406"/>
      <c r="C497" s="393"/>
      <c r="D497" s="94" t="s">
        <v>91</v>
      </c>
      <c r="E497" s="95"/>
      <c r="F497" s="96"/>
      <c r="G497" s="95"/>
      <c r="H497" s="96"/>
      <c r="I497" s="93">
        <v>1</v>
      </c>
      <c r="J497" s="93"/>
      <c r="K497" s="93">
        <v>2000</v>
      </c>
      <c r="L497" s="383"/>
      <c r="M497" s="90">
        <f t="shared" si="125"/>
        <v>2000</v>
      </c>
      <c r="N497" s="98"/>
      <c r="O497" s="92">
        <f t="shared" si="127"/>
        <v>2000</v>
      </c>
    </row>
    <row r="498" spans="1:15" ht="30.6" thickBot="1" x14ac:dyDescent="0.3">
      <c r="A498" s="85"/>
      <c r="B498" s="406"/>
      <c r="C498" s="393"/>
      <c r="D498" s="94" t="s">
        <v>92</v>
      </c>
      <c r="E498" s="95"/>
      <c r="F498" s="96"/>
      <c r="G498" s="95"/>
      <c r="H498" s="96"/>
      <c r="I498" s="93">
        <v>0</v>
      </c>
      <c r="J498" s="93"/>
      <c r="K498" s="93">
        <v>0</v>
      </c>
      <c r="L498" s="383"/>
      <c r="M498" s="90">
        <f t="shared" si="125"/>
        <v>0</v>
      </c>
      <c r="N498" s="98"/>
      <c r="O498" s="92">
        <f t="shared" si="127"/>
        <v>0</v>
      </c>
    </row>
    <row r="499" spans="1:15" x14ac:dyDescent="0.25">
      <c r="A499" s="85"/>
      <c r="B499" s="406"/>
      <c r="C499" s="393"/>
      <c r="D499" s="94" t="s">
        <v>189</v>
      </c>
      <c r="E499" s="95"/>
      <c r="F499" s="96"/>
      <c r="G499" s="95"/>
      <c r="H499" s="96"/>
      <c r="I499" s="93"/>
      <c r="J499" s="93"/>
      <c r="K499" s="93"/>
      <c r="L499" s="384"/>
      <c r="M499" s="90">
        <f t="shared" si="125"/>
        <v>0</v>
      </c>
      <c r="N499" s="98"/>
      <c r="O499" s="92">
        <f>L493</f>
        <v>0.1</v>
      </c>
    </row>
    <row r="500" spans="1:15" ht="16.2" thickBot="1" x14ac:dyDescent="0.35">
      <c r="A500" s="93"/>
      <c r="B500" s="407"/>
      <c r="C500" s="394"/>
      <c r="D500" s="123" t="s">
        <v>38</v>
      </c>
      <c r="E500" s="124"/>
      <c r="F500" s="125"/>
      <c r="G500" s="124"/>
      <c r="H500" s="125"/>
      <c r="I500" s="126"/>
      <c r="J500" s="126"/>
      <c r="K500" s="126"/>
      <c r="L500" s="127"/>
      <c r="M500" s="127"/>
      <c r="N500" s="128"/>
      <c r="O500" s="107">
        <f>SUM(O493:O499)</f>
        <v>20690.7</v>
      </c>
    </row>
    <row r="501" spans="1:15" ht="15.6" x14ac:dyDescent="0.3">
      <c r="A501" s="93"/>
      <c r="B501" s="150"/>
      <c r="C501" s="137"/>
      <c r="D501" s="112"/>
      <c r="E501" s="138"/>
      <c r="F501" s="139"/>
      <c r="G501" s="138"/>
      <c r="H501" s="139"/>
      <c r="L501" s="140"/>
      <c r="M501" s="140"/>
      <c r="N501" s="141"/>
      <c r="O501" s="142"/>
    </row>
    <row r="502" spans="1:15" ht="15.6" x14ac:dyDescent="0.3">
      <c r="A502" s="93"/>
      <c r="B502" s="150"/>
      <c r="C502" s="137"/>
      <c r="D502" s="112"/>
      <c r="E502" s="138"/>
      <c r="F502" s="139"/>
      <c r="G502" s="138"/>
      <c r="H502" s="139"/>
      <c r="L502" s="140"/>
      <c r="M502" s="140"/>
      <c r="N502" s="141"/>
      <c r="O502" s="142"/>
    </row>
    <row r="503" spans="1:15" ht="98.25" customHeight="1" x14ac:dyDescent="0.3">
      <c r="A503" s="93"/>
      <c r="B503" s="93"/>
      <c r="C503" s="93"/>
      <c r="D503" s="112"/>
      <c r="E503" s="138"/>
      <c r="F503" s="139"/>
      <c r="G503" s="138"/>
      <c r="H503" s="139"/>
      <c r="L503" s="140"/>
      <c r="M503" s="140"/>
      <c r="N503" s="141"/>
      <c r="O503" s="142"/>
    </row>
    <row r="504" spans="1:15" ht="31.8" thickBot="1" x14ac:dyDescent="0.3">
      <c r="A504" s="93"/>
      <c r="B504" s="143" t="s">
        <v>0</v>
      </c>
      <c r="C504" s="144" t="s">
        <v>1</v>
      </c>
      <c r="D504" s="143"/>
      <c r="E504" s="144" t="s">
        <v>198</v>
      </c>
      <c r="F504" s="145" t="s">
        <v>194</v>
      </c>
      <c r="G504" s="144" t="s">
        <v>196</v>
      </c>
      <c r="H504" s="145" t="s">
        <v>9</v>
      </c>
      <c r="I504" s="143" t="s">
        <v>2</v>
      </c>
      <c r="J504" s="144" t="s">
        <v>10</v>
      </c>
      <c r="K504" s="144" t="s">
        <v>13</v>
      </c>
      <c r="L504" s="144" t="s">
        <v>14</v>
      </c>
      <c r="M504" s="146" t="s">
        <v>15</v>
      </c>
      <c r="N504" s="147" t="s">
        <v>11</v>
      </c>
      <c r="O504" s="148" t="s">
        <v>12</v>
      </c>
    </row>
    <row r="505" spans="1:15" ht="15.6" thickBot="1" x14ac:dyDescent="0.3">
      <c r="A505" s="310">
        <v>1</v>
      </c>
      <c r="B505" s="405" t="s">
        <v>136</v>
      </c>
      <c r="C505" s="392">
        <v>901</v>
      </c>
      <c r="D505" s="87" t="s">
        <v>35</v>
      </c>
      <c r="E505" s="311">
        <v>2103.5</v>
      </c>
      <c r="F505" s="171">
        <v>46163</v>
      </c>
      <c r="G505" s="311">
        <v>2504.8000000000002</v>
      </c>
      <c r="H505" s="171">
        <v>46197</v>
      </c>
      <c r="I505" s="343">
        <f>G505-E505</f>
        <v>401.30000000000018</v>
      </c>
      <c r="J505" s="86"/>
      <c r="K505" s="86">
        <v>257</v>
      </c>
      <c r="L505" s="382">
        <v>103506.6</v>
      </c>
      <c r="M505" s="312">
        <f t="shared" ref="M505:M511" si="128">I505*K505+J505</f>
        <v>103134.10000000005</v>
      </c>
      <c r="N505" s="313">
        <v>0</v>
      </c>
      <c r="O505" s="314">
        <f t="shared" ref="O505:O506" si="129">M505-N505</f>
        <v>103134.10000000005</v>
      </c>
    </row>
    <row r="506" spans="1:15" ht="15.6" thickBot="1" x14ac:dyDescent="0.3">
      <c r="A506" s="85"/>
      <c r="B506" s="406"/>
      <c r="C506" s="393"/>
      <c r="D506" s="94" t="s">
        <v>36</v>
      </c>
      <c r="E506" s="95">
        <v>232</v>
      </c>
      <c r="F506" s="171">
        <v>46163</v>
      </c>
      <c r="G506" s="95">
        <v>249</v>
      </c>
      <c r="H506" s="171">
        <v>46197</v>
      </c>
      <c r="I506" s="86">
        <f>G506-E506</f>
        <v>17</v>
      </c>
      <c r="J506" s="86">
        <v>1000</v>
      </c>
      <c r="K506" s="93">
        <v>1200</v>
      </c>
      <c r="L506" s="383"/>
      <c r="M506" s="90">
        <f t="shared" si="128"/>
        <v>21400</v>
      </c>
      <c r="N506" s="98"/>
      <c r="O506" s="92">
        <f t="shared" si="129"/>
        <v>21400</v>
      </c>
    </row>
    <row r="507" spans="1:15" ht="15.6" thickBot="1" x14ac:dyDescent="0.3">
      <c r="A507" s="85"/>
      <c r="B507" s="406"/>
      <c r="C507" s="393"/>
      <c r="D507" s="117" t="s">
        <v>37</v>
      </c>
      <c r="E507" s="118"/>
      <c r="F507" s="119"/>
      <c r="G507" s="118"/>
      <c r="H507" s="119"/>
      <c r="I507" s="120">
        <v>1</v>
      </c>
      <c r="J507" s="120"/>
      <c r="K507" s="120">
        <v>25000</v>
      </c>
      <c r="L507" s="383"/>
      <c r="M507" s="90">
        <f t="shared" si="128"/>
        <v>25000</v>
      </c>
      <c r="N507" s="99"/>
      <c r="O507" s="92">
        <f t="shared" ref="O507:O510" si="130">M507+L507-N507</f>
        <v>25000</v>
      </c>
    </row>
    <row r="508" spans="1:15" ht="15.6" thickBot="1" x14ac:dyDescent="0.3">
      <c r="A508" s="85"/>
      <c r="B508" s="406"/>
      <c r="C508" s="393"/>
      <c r="D508" s="94" t="s">
        <v>90</v>
      </c>
      <c r="E508" s="95"/>
      <c r="F508" s="96"/>
      <c r="G508" s="95"/>
      <c r="H508" s="96"/>
      <c r="I508" s="93"/>
      <c r="J508" s="93"/>
      <c r="K508" s="93">
        <v>0</v>
      </c>
      <c r="L508" s="383"/>
      <c r="M508" s="90">
        <f t="shared" si="128"/>
        <v>0</v>
      </c>
      <c r="N508" s="98"/>
      <c r="O508" s="92">
        <f t="shared" si="130"/>
        <v>0</v>
      </c>
    </row>
    <row r="509" spans="1:15" ht="15.6" thickBot="1" x14ac:dyDescent="0.3">
      <c r="A509" s="85"/>
      <c r="B509" s="406"/>
      <c r="C509" s="393"/>
      <c r="D509" s="94" t="s">
        <v>91</v>
      </c>
      <c r="E509" s="95"/>
      <c r="F509" s="96"/>
      <c r="G509" s="95"/>
      <c r="H509" s="96"/>
      <c r="I509" s="93">
        <v>1</v>
      </c>
      <c r="J509" s="93"/>
      <c r="K509" s="93">
        <v>2000</v>
      </c>
      <c r="L509" s="383"/>
      <c r="M509" s="90">
        <f t="shared" si="128"/>
        <v>2000</v>
      </c>
      <c r="N509" s="98"/>
      <c r="O509" s="92">
        <f t="shared" si="130"/>
        <v>2000</v>
      </c>
    </row>
    <row r="510" spans="1:15" ht="30.6" thickBot="1" x14ac:dyDescent="0.3">
      <c r="A510" s="85"/>
      <c r="B510" s="406"/>
      <c r="C510" s="393"/>
      <c r="D510" s="94" t="s">
        <v>92</v>
      </c>
      <c r="E510" s="95"/>
      <c r="F510" s="96"/>
      <c r="G510" s="95"/>
      <c r="H510" s="96"/>
      <c r="I510" s="93">
        <v>0</v>
      </c>
      <c r="J510" s="93"/>
      <c r="K510" s="93">
        <v>0</v>
      </c>
      <c r="L510" s="383"/>
      <c r="M510" s="90">
        <f t="shared" si="128"/>
        <v>0</v>
      </c>
      <c r="N510" s="98"/>
      <c r="O510" s="92">
        <f t="shared" si="130"/>
        <v>0</v>
      </c>
    </row>
    <row r="511" spans="1:15" x14ac:dyDescent="0.25">
      <c r="A511" s="85"/>
      <c r="B511" s="406"/>
      <c r="C511" s="393"/>
      <c r="D511" s="94" t="s">
        <v>189</v>
      </c>
      <c r="E511" s="95"/>
      <c r="F511" s="96"/>
      <c r="G511" s="95"/>
      <c r="H511" s="96"/>
      <c r="I511" s="93"/>
      <c r="J511" s="93"/>
      <c r="K511" s="93"/>
      <c r="L511" s="384"/>
      <c r="M511" s="90">
        <f t="shared" si="128"/>
        <v>0</v>
      </c>
      <c r="N511" s="98"/>
      <c r="O511" s="92">
        <f>L505</f>
        <v>103506.6</v>
      </c>
    </row>
    <row r="512" spans="1:15" ht="16.2" thickBot="1" x14ac:dyDescent="0.35">
      <c r="A512" s="93"/>
      <c r="B512" s="407"/>
      <c r="C512" s="394"/>
      <c r="D512" s="123" t="s">
        <v>38</v>
      </c>
      <c r="E512" s="124"/>
      <c r="F512" s="125"/>
      <c r="G512" s="124"/>
      <c r="H512" s="125"/>
      <c r="I512" s="126"/>
      <c r="J512" s="126"/>
      <c r="K512" s="126"/>
      <c r="L512" s="127"/>
      <c r="M512" s="127"/>
      <c r="N512" s="128"/>
      <c r="O512" s="107">
        <f>SUM(O505:O511)</f>
        <v>255040.70000000004</v>
      </c>
    </row>
    <row r="513" spans="1:15" ht="15.6" x14ac:dyDescent="0.3">
      <c r="A513" s="93"/>
      <c r="B513" s="150"/>
      <c r="C513" s="137"/>
      <c r="D513" s="112"/>
      <c r="E513" s="138"/>
      <c r="F513" s="139"/>
      <c r="G513" s="138"/>
      <c r="H513" s="139"/>
      <c r="L513" s="140"/>
      <c r="M513" s="140"/>
      <c r="N513" s="141"/>
      <c r="O513" s="142"/>
    </row>
    <row r="514" spans="1:15" ht="15.6" x14ac:dyDescent="0.3">
      <c r="A514" s="93"/>
      <c r="B514" s="150"/>
      <c r="C514" s="137"/>
      <c r="D514" s="112"/>
      <c r="E514" s="138"/>
      <c r="F514" s="139"/>
      <c r="G514" s="138"/>
      <c r="H514" s="139"/>
      <c r="L514" s="140"/>
      <c r="M514" s="140"/>
      <c r="N514" s="141"/>
      <c r="O514" s="142"/>
    </row>
    <row r="515" spans="1:15" ht="15.6" x14ac:dyDescent="0.3">
      <c r="A515" s="93"/>
      <c r="B515" s="150"/>
      <c r="C515" s="137"/>
      <c r="D515" s="112"/>
      <c r="E515" s="138"/>
      <c r="F515" s="139"/>
      <c r="G515" s="138"/>
      <c r="H515" s="139"/>
      <c r="L515" s="140"/>
      <c r="M515" s="140"/>
      <c r="N515" s="141"/>
      <c r="O515" s="142"/>
    </row>
    <row r="516" spans="1:15" ht="15.6" x14ac:dyDescent="0.3">
      <c r="A516" s="93"/>
      <c r="B516" s="150"/>
      <c r="C516" s="137"/>
      <c r="D516" s="112"/>
      <c r="E516" s="138"/>
      <c r="F516" s="139"/>
      <c r="G516" s="138"/>
      <c r="H516" s="139"/>
      <c r="L516" s="140"/>
      <c r="M516" s="140"/>
      <c r="N516" s="141"/>
      <c r="O516" s="142"/>
    </row>
    <row r="517" spans="1:15" ht="15.6" x14ac:dyDescent="0.3">
      <c r="A517" s="93"/>
      <c r="B517" s="150"/>
      <c r="C517" s="137"/>
      <c r="D517" s="112"/>
      <c r="E517" s="138"/>
      <c r="F517" s="139"/>
      <c r="G517" s="138"/>
      <c r="H517" s="139"/>
      <c r="L517" s="140"/>
      <c r="M517" s="140"/>
      <c r="N517" s="141"/>
      <c r="O517" s="142"/>
    </row>
    <row r="518" spans="1:15" ht="15.6" x14ac:dyDescent="0.3">
      <c r="A518" s="93"/>
      <c r="B518" s="93"/>
      <c r="C518" s="93"/>
      <c r="D518" s="112"/>
      <c r="E518" s="138"/>
      <c r="F518" s="139"/>
      <c r="G518" s="138"/>
      <c r="H518" s="139"/>
      <c r="L518" s="140"/>
      <c r="M518" s="140"/>
      <c r="N518" s="141"/>
      <c r="O518" s="142"/>
    </row>
    <row r="519" spans="1:15" ht="31.8" thickBot="1" x14ac:dyDescent="0.3">
      <c r="A519" s="93"/>
      <c r="B519" s="143" t="s">
        <v>0</v>
      </c>
      <c r="C519" s="144" t="s">
        <v>1</v>
      </c>
      <c r="D519" s="143"/>
      <c r="E519" s="144" t="s">
        <v>198</v>
      </c>
      <c r="F519" s="145" t="s">
        <v>194</v>
      </c>
      <c r="G519" s="144" t="s">
        <v>196</v>
      </c>
      <c r="H519" s="145" t="s">
        <v>9</v>
      </c>
      <c r="I519" s="143" t="s">
        <v>2</v>
      </c>
      <c r="J519" s="144" t="s">
        <v>10</v>
      </c>
      <c r="K519" s="144" t="s">
        <v>13</v>
      </c>
      <c r="L519" s="144" t="s">
        <v>14</v>
      </c>
      <c r="M519" s="146" t="s">
        <v>15</v>
      </c>
      <c r="N519" s="147" t="s">
        <v>11</v>
      </c>
      <c r="O519" s="148" t="s">
        <v>12</v>
      </c>
    </row>
    <row r="520" spans="1:15" ht="15.6" thickBot="1" x14ac:dyDescent="0.3">
      <c r="A520" s="85">
        <v>1</v>
      </c>
      <c r="B520" s="410" t="s">
        <v>137</v>
      </c>
      <c r="C520" s="392">
        <v>903</v>
      </c>
      <c r="D520" s="87" t="s">
        <v>35</v>
      </c>
      <c r="E520" s="88">
        <v>3578.2</v>
      </c>
      <c r="F520" s="171">
        <v>46163</v>
      </c>
      <c r="G520" s="88">
        <v>3676.8</v>
      </c>
      <c r="H520" s="171">
        <v>46197</v>
      </c>
      <c r="I520" s="86">
        <f>G520-E520</f>
        <v>98.600000000000364</v>
      </c>
      <c r="J520" s="86"/>
      <c r="K520" s="86">
        <v>257</v>
      </c>
      <c r="L520" s="382">
        <v>0.4</v>
      </c>
      <c r="M520" s="90">
        <f t="shared" ref="M520:M526" si="131">I520*K520+J520</f>
        <v>25340.200000000092</v>
      </c>
      <c r="N520" s="91">
        <v>0</v>
      </c>
      <c r="O520" s="92">
        <f t="shared" ref="O520:O521" si="132">M520-N520</f>
        <v>25340.200000000092</v>
      </c>
    </row>
    <row r="521" spans="1:15" ht="15.6" thickBot="1" x14ac:dyDescent="0.3">
      <c r="A521" s="85"/>
      <c r="B521" s="411"/>
      <c r="C521" s="393"/>
      <c r="D521" s="94" t="s">
        <v>36</v>
      </c>
      <c r="E521" s="95">
        <v>89</v>
      </c>
      <c r="F521" s="171">
        <v>46163</v>
      </c>
      <c r="G521" s="95">
        <v>91</v>
      </c>
      <c r="H521" s="171">
        <v>46197</v>
      </c>
      <c r="I521" s="86">
        <f>G521-E521</f>
        <v>2</v>
      </c>
      <c r="J521" s="86">
        <v>1000</v>
      </c>
      <c r="K521" s="93">
        <v>1200</v>
      </c>
      <c r="L521" s="383"/>
      <c r="M521" s="90">
        <f t="shared" si="131"/>
        <v>3400</v>
      </c>
      <c r="N521" s="98"/>
      <c r="O521" s="92">
        <f t="shared" si="132"/>
        <v>3400</v>
      </c>
    </row>
    <row r="522" spans="1:15" ht="15.6" thickBot="1" x14ac:dyDescent="0.3">
      <c r="A522" s="85"/>
      <c r="B522" s="411"/>
      <c r="C522" s="393"/>
      <c r="D522" s="117" t="s">
        <v>37</v>
      </c>
      <c r="E522" s="118"/>
      <c r="F522" s="119"/>
      <c r="G522" s="118"/>
      <c r="H522" s="119"/>
      <c r="I522" s="120">
        <v>1</v>
      </c>
      <c r="J522" s="120"/>
      <c r="K522" s="120">
        <v>25000</v>
      </c>
      <c r="L522" s="383"/>
      <c r="M522" s="90">
        <f t="shared" si="131"/>
        <v>25000</v>
      </c>
      <c r="N522" s="99"/>
      <c r="O522" s="92">
        <f t="shared" ref="O522:O525" si="133">M522+L522-N522</f>
        <v>25000</v>
      </c>
    </row>
    <row r="523" spans="1:15" ht="15.6" thickBot="1" x14ac:dyDescent="0.3">
      <c r="A523" s="85"/>
      <c r="B523" s="411"/>
      <c r="C523" s="393"/>
      <c r="D523" s="94" t="s">
        <v>90</v>
      </c>
      <c r="E523" s="95"/>
      <c r="F523" s="96"/>
      <c r="G523" s="95"/>
      <c r="H523" s="96"/>
      <c r="I523" s="93"/>
      <c r="J523" s="93"/>
      <c r="K523" s="93">
        <v>0</v>
      </c>
      <c r="L523" s="383"/>
      <c r="M523" s="90">
        <f t="shared" si="131"/>
        <v>0</v>
      </c>
      <c r="N523" s="98"/>
      <c r="O523" s="92">
        <f t="shared" si="133"/>
        <v>0</v>
      </c>
    </row>
    <row r="524" spans="1:15" ht="15.6" thickBot="1" x14ac:dyDescent="0.3">
      <c r="A524" s="85"/>
      <c r="B524" s="411"/>
      <c r="C524" s="393"/>
      <c r="D524" s="94" t="s">
        <v>91</v>
      </c>
      <c r="E524" s="95"/>
      <c r="F524" s="96"/>
      <c r="G524" s="95"/>
      <c r="H524" s="96"/>
      <c r="I524" s="93">
        <v>1</v>
      </c>
      <c r="J524" s="93"/>
      <c r="K524" s="93">
        <v>2000</v>
      </c>
      <c r="L524" s="383"/>
      <c r="M524" s="90">
        <f t="shared" si="131"/>
        <v>2000</v>
      </c>
      <c r="N524" s="98"/>
      <c r="O524" s="92">
        <f t="shared" si="133"/>
        <v>2000</v>
      </c>
    </row>
    <row r="525" spans="1:15" ht="30.6" thickBot="1" x14ac:dyDescent="0.3">
      <c r="A525" s="85"/>
      <c r="B525" s="411"/>
      <c r="C525" s="393"/>
      <c r="D525" s="94" t="s">
        <v>92</v>
      </c>
      <c r="E525" s="95"/>
      <c r="F525" s="96"/>
      <c r="G525" s="95"/>
      <c r="H525" s="96"/>
      <c r="I525" s="93">
        <v>0</v>
      </c>
      <c r="J525" s="93"/>
      <c r="K525" s="93">
        <v>0</v>
      </c>
      <c r="L525" s="383"/>
      <c r="M525" s="90">
        <f t="shared" si="131"/>
        <v>0</v>
      </c>
      <c r="N525" s="98"/>
      <c r="O525" s="92">
        <f t="shared" si="133"/>
        <v>0</v>
      </c>
    </row>
    <row r="526" spans="1:15" x14ac:dyDescent="0.25">
      <c r="A526" s="85"/>
      <c r="B526" s="411"/>
      <c r="C526" s="393"/>
      <c r="D526" s="94" t="s">
        <v>189</v>
      </c>
      <c r="E526" s="95"/>
      <c r="F526" s="96"/>
      <c r="G526" s="95"/>
      <c r="H526" s="96"/>
      <c r="I526" s="93"/>
      <c r="J526" s="93"/>
      <c r="K526" s="93"/>
      <c r="L526" s="384"/>
      <c r="M526" s="90">
        <f t="shared" si="131"/>
        <v>0</v>
      </c>
      <c r="N526" s="98"/>
      <c r="O526" s="92">
        <f>L520</f>
        <v>0.4</v>
      </c>
    </row>
    <row r="527" spans="1:15" ht="16.2" thickBot="1" x14ac:dyDescent="0.35">
      <c r="A527" s="93"/>
      <c r="B527" s="412"/>
      <c r="C527" s="394"/>
      <c r="D527" s="123" t="s">
        <v>38</v>
      </c>
      <c r="E527" s="124"/>
      <c r="F527" s="125"/>
      <c r="G527" s="124"/>
      <c r="H527" s="125"/>
      <c r="I527" s="126"/>
      <c r="J527" s="126"/>
      <c r="K527" s="126"/>
      <c r="L527" s="127"/>
      <c r="M527" s="127"/>
      <c r="N527" s="128"/>
      <c r="O527" s="107">
        <f>SUM(O520:O526)</f>
        <v>55740.600000000093</v>
      </c>
    </row>
    <row r="528" spans="1:15" ht="15.6" x14ac:dyDescent="0.3">
      <c r="A528" s="158"/>
      <c r="B528" s="260"/>
      <c r="C528" s="259"/>
      <c r="E528" s="138"/>
      <c r="F528" s="139"/>
      <c r="G528" s="138"/>
      <c r="H528" s="139"/>
      <c r="L528" s="140"/>
      <c r="M528" s="140"/>
      <c r="N528" s="141"/>
      <c r="O528" s="142"/>
    </row>
    <row r="529" spans="1:15" ht="15.6" x14ac:dyDescent="0.3">
      <c r="A529" s="158"/>
      <c r="B529" s="260"/>
      <c r="C529" s="259"/>
      <c r="E529" s="138"/>
      <c r="F529" s="139"/>
      <c r="G529" s="138"/>
      <c r="H529" s="139"/>
      <c r="L529" s="140"/>
      <c r="M529" s="140"/>
      <c r="N529" s="141"/>
      <c r="O529" s="142"/>
    </row>
    <row r="530" spans="1:15" ht="31.8" thickBot="1" x14ac:dyDescent="0.3">
      <c r="A530" s="93"/>
      <c r="B530" s="143" t="s">
        <v>0</v>
      </c>
      <c r="C530" s="144" t="s">
        <v>1</v>
      </c>
      <c r="D530" s="143"/>
      <c r="E530" s="144" t="s">
        <v>198</v>
      </c>
      <c r="F530" s="145" t="s">
        <v>194</v>
      </c>
      <c r="G530" s="144" t="s">
        <v>196</v>
      </c>
      <c r="H530" s="145" t="s">
        <v>9</v>
      </c>
      <c r="I530" s="143" t="s">
        <v>2</v>
      </c>
      <c r="J530" s="144" t="s">
        <v>10</v>
      </c>
      <c r="K530" s="144" t="s">
        <v>13</v>
      </c>
      <c r="L530" s="144" t="s">
        <v>14</v>
      </c>
      <c r="M530" s="146" t="s">
        <v>15</v>
      </c>
      <c r="N530" s="147" t="s">
        <v>11</v>
      </c>
      <c r="O530" s="148" t="s">
        <v>12</v>
      </c>
    </row>
    <row r="531" spans="1:15" ht="15.6" thickBot="1" x14ac:dyDescent="0.3">
      <c r="A531" s="85">
        <v>1</v>
      </c>
      <c r="B531" s="405" t="s">
        <v>138</v>
      </c>
      <c r="C531" s="392">
        <v>904</v>
      </c>
      <c r="D531" s="87" t="s">
        <v>35</v>
      </c>
      <c r="E531" s="88">
        <v>1176.5999999999999</v>
      </c>
      <c r="F531" s="89">
        <v>46163</v>
      </c>
      <c r="G531" s="88">
        <v>1204.8</v>
      </c>
      <c r="H531" s="89">
        <v>46197</v>
      </c>
      <c r="I531" s="86">
        <f>G531-E531</f>
        <v>28.200000000000045</v>
      </c>
      <c r="J531" s="86"/>
      <c r="K531" s="86">
        <v>257</v>
      </c>
      <c r="L531" s="382">
        <v>534906.19999999995</v>
      </c>
      <c r="M531" s="90">
        <f t="shared" ref="M531:M537" si="134">I531*K531+J531</f>
        <v>7247.4000000000115</v>
      </c>
      <c r="N531" s="91">
        <v>0</v>
      </c>
      <c r="O531" s="92">
        <f t="shared" ref="O531:O532" si="135">M531-N531</f>
        <v>7247.4000000000115</v>
      </c>
    </row>
    <row r="532" spans="1:15" ht="15.6" thickBot="1" x14ac:dyDescent="0.3">
      <c r="A532" s="85"/>
      <c r="B532" s="406"/>
      <c r="C532" s="393"/>
      <c r="D532" s="94" t="s">
        <v>36</v>
      </c>
      <c r="E532" s="95">
        <v>99</v>
      </c>
      <c r="F532" s="89">
        <v>46163</v>
      </c>
      <c r="G532" s="95">
        <v>125</v>
      </c>
      <c r="H532" s="89">
        <v>46197</v>
      </c>
      <c r="I532" s="86">
        <f>G532-E532</f>
        <v>26</v>
      </c>
      <c r="J532" s="86">
        <v>1000</v>
      </c>
      <c r="K532" s="93">
        <v>1200</v>
      </c>
      <c r="L532" s="383"/>
      <c r="M532" s="90">
        <f t="shared" si="134"/>
        <v>32200</v>
      </c>
      <c r="N532" s="98"/>
      <c r="O532" s="92">
        <f t="shared" si="135"/>
        <v>32200</v>
      </c>
    </row>
    <row r="533" spans="1:15" ht="15.6" thickBot="1" x14ac:dyDescent="0.3">
      <c r="A533" s="85"/>
      <c r="B533" s="406"/>
      <c r="C533" s="393"/>
      <c r="D533" s="117" t="s">
        <v>37</v>
      </c>
      <c r="E533" s="118"/>
      <c r="F533" s="119"/>
      <c r="G533" s="118"/>
      <c r="H533" s="119"/>
      <c r="I533" s="266">
        <v>0</v>
      </c>
      <c r="J533" s="120"/>
      <c r="K533" s="266">
        <v>0</v>
      </c>
      <c r="L533" s="383"/>
      <c r="M533" s="90">
        <f t="shared" si="134"/>
        <v>0</v>
      </c>
      <c r="N533" s="99"/>
      <c r="O533" s="92">
        <f t="shared" ref="O533:O536" si="136">M533+L533-N533</f>
        <v>0</v>
      </c>
    </row>
    <row r="534" spans="1:15" ht="15.6" thickBot="1" x14ac:dyDescent="0.3">
      <c r="A534" s="85"/>
      <c r="B534" s="406"/>
      <c r="C534" s="393"/>
      <c r="D534" s="94" t="s">
        <v>90</v>
      </c>
      <c r="E534" s="95"/>
      <c r="F534" s="96"/>
      <c r="G534" s="95"/>
      <c r="H534" s="96"/>
      <c r="I534" s="93"/>
      <c r="J534" s="93"/>
      <c r="K534" s="93">
        <v>0</v>
      </c>
      <c r="L534" s="383"/>
      <c r="M534" s="90">
        <f t="shared" si="134"/>
        <v>0</v>
      </c>
      <c r="N534" s="98"/>
      <c r="O534" s="92">
        <f t="shared" si="136"/>
        <v>0</v>
      </c>
    </row>
    <row r="535" spans="1:15" ht="15.6" thickBot="1" x14ac:dyDescent="0.3">
      <c r="A535" s="85"/>
      <c r="B535" s="406"/>
      <c r="C535" s="393"/>
      <c r="D535" s="94" t="s">
        <v>91</v>
      </c>
      <c r="E535" s="95"/>
      <c r="F535" s="96"/>
      <c r="G535" s="95"/>
      <c r="H535" s="96"/>
      <c r="I535" s="93">
        <v>0</v>
      </c>
      <c r="J535" s="93"/>
      <c r="K535" s="93">
        <v>2000</v>
      </c>
      <c r="L535" s="383"/>
      <c r="M535" s="90">
        <f t="shared" si="134"/>
        <v>0</v>
      </c>
      <c r="N535" s="98"/>
      <c r="O535" s="92">
        <f t="shared" si="136"/>
        <v>0</v>
      </c>
    </row>
    <row r="536" spans="1:15" ht="30.6" thickBot="1" x14ac:dyDescent="0.3">
      <c r="A536" s="85"/>
      <c r="B536" s="406"/>
      <c r="C536" s="393"/>
      <c r="D536" s="94" t="s">
        <v>92</v>
      </c>
      <c r="E536" s="95"/>
      <c r="F536" s="96"/>
      <c r="G536" s="95"/>
      <c r="H536" s="96"/>
      <c r="I536" s="93">
        <v>0</v>
      </c>
      <c r="J536" s="93"/>
      <c r="K536" s="93">
        <v>0</v>
      </c>
      <c r="L536" s="383"/>
      <c r="M536" s="90">
        <f t="shared" si="134"/>
        <v>0</v>
      </c>
      <c r="N536" s="98"/>
      <c r="O536" s="92">
        <f t="shared" si="136"/>
        <v>0</v>
      </c>
    </row>
    <row r="537" spans="1:15" x14ac:dyDescent="0.25">
      <c r="A537" s="85"/>
      <c r="B537" s="406"/>
      <c r="C537" s="393"/>
      <c r="D537" s="94" t="s">
        <v>189</v>
      </c>
      <c r="E537" s="95"/>
      <c r="F537" s="96"/>
      <c r="G537" s="95"/>
      <c r="H537" s="96"/>
      <c r="I537" s="93"/>
      <c r="J537" s="93"/>
      <c r="K537" s="93"/>
      <c r="L537" s="384"/>
      <c r="M537" s="90">
        <f t="shared" si="134"/>
        <v>0</v>
      </c>
      <c r="N537" s="98"/>
      <c r="O537" s="92">
        <f>L531</f>
        <v>534906.19999999995</v>
      </c>
    </row>
    <row r="538" spans="1:15" ht="16.2" thickBot="1" x14ac:dyDescent="0.35">
      <c r="A538" s="93"/>
      <c r="B538" s="407"/>
      <c r="C538" s="394"/>
      <c r="D538" s="123" t="s">
        <v>38</v>
      </c>
      <c r="E538" s="124"/>
      <c r="F538" s="125"/>
      <c r="G538" s="124"/>
      <c r="H538" s="125"/>
      <c r="I538" s="126"/>
      <c r="J538" s="126"/>
      <c r="K538" s="126"/>
      <c r="L538" s="127"/>
      <c r="M538" s="127"/>
      <c r="N538" s="128"/>
      <c r="O538" s="107">
        <f>SUM(O531:O537)</f>
        <v>574353.6</v>
      </c>
    </row>
    <row r="539" spans="1:15" ht="15.6" x14ac:dyDescent="0.3">
      <c r="A539" s="93"/>
      <c r="B539" s="150"/>
      <c r="C539" s="137"/>
      <c r="D539" s="112"/>
      <c r="E539" s="138"/>
      <c r="F539" s="139"/>
      <c r="G539" s="138"/>
      <c r="H539" s="139"/>
      <c r="L539" s="140"/>
      <c r="M539" s="140"/>
      <c r="N539" s="141"/>
      <c r="O539" s="142"/>
    </row>
    <row r="540" spans="1:15" ht="31.8" thickBot="1" x14ac:dyDescent="0.3">
      <c r="A540" s="93"/>
      <c r="B540" s="143" t="s">
        <v>0</v>
      </c>
      <c r="C540" s="144" t="s">
        <v>1</v>
      </c>
      <c r="D540" s="143"/>
      <c r="E540" s="144" t="s">
        <v>198</v>
      </c>
      <c r="F540" s="145" t="s">
        <v>194</v>
      </c>
      <c r="G540" s="144" t="s">
        <v>196</v>
      </c>
      <c r="H540" s="145" t="s">
        <v>9</v>
      </c>
      <c r="I540" s="143" t="s">
        <v>2</v>
      </c>
      <c r="J540" s="144" t="s">
        <v>10</v>
      </c>
      <c r="K540" s="144" t="s">
        <v>13</v>
      </c>
      <c r="L540" s="144" t="s">
        <v>14</v>
      </c>
      <c r="M540" s="146" t="s">
        <v>15</v>
      </c>
      <c r="N540" s="147" t="s">
        <v>11</v>
      </c>
      <c r="O540" s="148" t="s">
        <v>12</v>
      </c>
    </row>
    <row r="541" spans="1:15" ht="15.6" thickBot="1" x14ac:dyDescent="0.3">
      <c r="A541" s="310">
        <v>1</v>
      </c>
      <c r="B541" s="405" t="s">
        <v>139</v>
      </c>
      <c r="C541" s="392">
        <v>906</v>
      </c>
      <c r="D541" s="87" t="s">
        <v>35</v>
      </c>
      <c r="E541" s="311">
        <v>422.3</v>
      </c>
      <c r="F541" s="171">
        <v>46163</v>
      </c>
      <c r="G541" s="311">
        <v>422.3</v>
      </c>
      <c r="H541" s="171">
        <v>46197</v>
      </c>
      <c r="I541" s="86">
        <f>G541-E541</f>
        <v>0</v>
      </c>
      <c r="J541" s="86"/>
      <c r="K541" s="86">
        <v>257</v>
      </c>
      <c r="L541" s="382">
        <v>17762.5</v>
      </c>
      <c r="M541" s="312">
        <f t="shared" ref="M541:M547" si="137">I541*K541+J541</f>
        <v>0</v>
      </c>
      <c r="N541" s="313">
        <v>0</v>
      </c>
      <c r="O541" s="314">
        <f t="shared" ref="O541:O542" si="138">M541-N541</f>
        <v>0</v>
      </c>
    </row>
    <row r="542" spans="1:15" ht="15.6" thickBot="1" x14ac:dyDescent="0.3">
      <c r="A542" s="85"/>
      <c r="B542" s="406"/>
      <c r="C542" s="393"/>
      <c r="D542" s="94" t="s">
        <v>36</v>
      </c>
      <c r="E542" s="269">
        <v>81</v>
      </c>
      <c r="F542" s="171">
        <v>46163</v>
      </c>
      <c r="G542" s="269">
        <v>81</v>
      </c>
      <c r="H542" s="171">
        <v>46197</v>
      </c>
      <c r="I542" s="86">
        <f>G542-E542</f>
        <v>0</v>
      </c>
      <c r="J542" s="86">
        <v>0</v>
      </c>
      <c r="K542" s="93">
        <v>1200</v>
      </c>
      <c r="L542" s="383"/>
      <c r="M542" s="267">
        <f t="shared" si="137"/>
        <v>0</v>
      </c>
      <c r="N542" s="98"/>
      <c r="O542" s="92">
        <f t="shared" si="138"/>
        <v>0</v>
      </c>
    </row>
    <row r="543" spans="1:15" ht="15.6" thickBot="1" x14ac:dyDescent="0.3">
      <c r="A543" s="85"/>
      <c r="B543" s="406"/>
      <c r="C543" s="393"/>
      <c r="D543" s="117" t="s">
        <v>37</v>
      </c>
      <c r="E543" s="118"/>
      <c r="F543" s="119"/>
      <c r="G543" s="118"/>
      <c r="H543" s="119"/>
      <c r="I543" s="120">
        <v>1</v>
      </c>
      <c r="J543" s="120"/>
      <c r="K543" s="120">
        <v>15000</v>
      </c>
      <c r="L543" s="383"/>
      <c r="M543" s="90">
        <f t="shared" si="137"/>
        <v>15000</v>
      </c>
      <c r="N543" s="99"/>
      <c r="O543" s="92">
        <f t="shared" ref="O543:O546" si="139">M543+L543-N543</f>
        <v>15000</v>
      </c>
    </row>
    <row r="544" spans="1:15" ht="15.6" thickBot="1" x14ac:dyDescent="0.3">
      <c r="A544" s="85"/>
      <c r="B544" s="406"/>
      <c r="C544" s="393"/>
      <c r="D544" s="94" t="s">
        <v>90</v>
      </c>
      <c r="E544" s="95"/>
      <c r="F544" s="96"/>
      <c r="G544" s="95"/>
      <c r="H544" s="96"/>
      <c r="I544" s="93"/>
      <c r="J544" s="93"/>
      <c r="K544" s="93">
        <v>0</v>
      </c>
      <c r="L544" s="383"/>
      <c r="M544" s="90">
        <f t="shared" si="137"/>
        <v>0</v>
      </c>
      <c r="N544" s="98"/>
      <c r="O544" s="92">
        <f t="shared" si="139"/>
        <v>0</v>
      </c>
    </row>
    <row r="545" spans="1:15" ht="15.6" thickBot="1" x14ac:dyDescent="0.3">
      <c r="A545" s="85"/>
      <c r="B545" s="406"/>
      <c r="C545" s="393"/>
      <c r="D545" s="94" t="s">
        <v>91</v>
      </c>
      <c r="E545" s="95"/>
      <c r="F545" s="96"/>
      <c r="G545" s="95"/>
      <c r="H545" s="96"/>
      <c r="I545" s="93">
        <v>0</v>
      </c>
      <c r="J545" s="93"/>
      <c r="K545" s="93">
        <v>2000</v>
      </c>
      <c r="L545" s="383"/>
      <c r="M545" s="90">
        <f t="shared" si="137"/>
        <v>0</v>
      </c>
      <c r="N545" s="98"/>
      <c r="O545" s="92">
        <f t="shared" si="139"/>
        <v>0</v>
      </c>
    </row>
    <row r="546" spans="1:15" ht="30.6" thickBot="1" x14ac:dyDescent="0.3">
      <c r="A546" s="85"/>
      <c r="B546" s="406"/>
      <c r="C546" s="393"/>
      <c r="D546" s="94" t="s">
        <v>92</v>
      </c>
      <c r="E546" s="95"/>
      <c r="F546" s="96"/>
      <c r="G546" s="95"/>
      <c r="H546" s="96"/>
      <c r="I546" s="93">
        <v>0</v>
      </c>
      <c r="J546" s="93"/>
      <c r="K546" s="93">
        <v>0</v>
      </c>
      <c r="L546" s="383"/>
      <c r="M546" s="90">
        <f t="shared" si="137"/>
        <v>0</v>
      </c>
      <c r="N546" s="98"/>
      <c r="O546" s="92">
        <f t="shared" si="139"/>
        <v>0</v>
      </c>
    </row>
    <row r="547" spans="1:15" x14ac:dyDescent="0.25">
      <c r="A547" s="85"/>
      <c r="B547" s="406"/>
      <c r="C547" s="393"/>
      <c r="D547" s="94" t="s">
        <v>189</v>
      </c>
      <c r="E547" s="95"/>
      <c r="F547" s="96"/>
      <c r="G547" s="95"/>
      <c r="H547" s="96"/>
      <c r="I547" s="93"/>
      <c r="J547" s="93"/>
      <c r="K547" s="93"/>
      <c r="L547" s="384"/>
      <c r="M547" s="90">
        <f t="shared" si="137"/>
        <v>0</v>
      </c>
      <c r="N547" s="98"/>
      <c r="O547" s="92">
        <f>L541</f>
        <v>17762.5</v>
      </c>
    </row>
    <row r="548" spans="1:15" ht="15.75" customHeight="1" thickBot="1" x14ac:dyDescent="0.35">
      <c r="A548" s="93"/>
      <c r="B548" s="407"/>
      <c r="C548" s="394"/>
      <c r="D548" s="123" t="s">
        <v>38</v>
      </c>
      <c r="E548" s="124"/>
      <c r="F548" s="125"/>
      <c r="G548" s="124"/>
      <c r="H548" s="125"/>
      <c r="I548" s="126"/>
      <c r="J548" s="126"/>
      <c r="K548" s="126"/>
      <c r="L548" s="127"/>
      <c r="M548" s="127"/>
      <c r="N548" s="128"/>
      <c r="O548" s="107">
        <f>SUM(O541:O547)</f>
        <v>32762.5</v>
      </c>
    </row>
    <row r="549" spans="1:15" ht="15.75" customHeight="1" x14ac:dyDescent="0.3">
      <c r="A549" s="93"/>
      <c r="B549" s="150"/>
      <c r="C549" s="137"/>
      <c r="D549" s="112"/>
      <c r="E549" s="138"/>
      <c r="F549" s="139"/>
      <c r="G549" s="138"/>
      <c r="H549" s="139"/>
      <c r="L549" s="140"/>
      <c r="M549" s="140"/>
      <c r="N549" s="141"/>
      <c r="O549" s="142"/>
    </row>
    <row r="550" spans="1:15" ht="31.8" thickBot="1" x14ac:dyDescent="0.3">
      <c r="A550" s="93"/>
      <c r="B550" s="143" t="s">
        <v>0</v>
      </c>
      <c r="C550" s="144" t="s">
        <v>1</v>
      </c>
      <c r="D550" s="143"/>
      <c r="E550" s="144" t="s">
        <v>198</v>
      </c>
      <c r="F550" s="145" t="s">
        <v>194</v>
      </c>
      <c r="G550" s="144" t="s">
        <v>196</v>
      </c>
      <c r="H550" s="145" t="s">
        <v>9</v>
      </c>
      <c r="I550" s="143" t="s">
        <v>2</v>
      </c>
      <c r="J550" s="144" t="s">
        <v>10</v>
      </c>
      <c r="K550" s="144" t="s">
        <v>13</v>
      </c>
      <c r="L550" s="144" t="s">
        <v>14</v>
      </c>
      <c r="M550" s="146" t="s">
        <v>15</v>
      </c>
      <c r="N550" s="147" t="s">
        <v>11</v>
      </c>
      <c r="O550" s="148" t="s">
        <v>12</v>
      </c>
    </row>
    <row r="551" spans="1:15" ht="15.6" thickBot="1" x14ac:dyDescent="0.3">
      <c r="A551" s="85">
        <v>1</v>
      </c>
      <c r="B551" s="405" t="s">
        <v>140</v>
      </c>
      <c r="C551" s="402">
        <v>1001</v>
      </c>
      <c r="D551" s="87" t="s">
        <v>35</v>
      </c>
      <c r="E551" s="88">
        <v>376.4</v>
      </c>
      <c r="F551" s="171">
        <v>46163</v>
      </c>
      <c r="G551" s="88">
        <v>433.5</v>
      </c>
      <c r="H551" s="171">
        <v>46197</v>
      </c>
      <c r="I551" s="86">
        <f>G551-E551</f>
        <v>57.100000000000023</v>
      </c>
      <c r="J551" s="86"/>
      <c r="K551" s="86">
        <v>257</v>
      </c>
      <c r="L551" s="382">
        <v>17924.8</v>
      </c>
      <c r="M551" s="90">
        <f t="shared" ref="M551:M557" si="140">I551*K551+J551</f>
        <v>14674.700000000006</v>
      </c>
      <c r="N551" s="91">
        <v>0</v>
      </c>
      <c r="O551" s="92">
        <f t="shared" ref="O551:O552" si="141">M551-N551</f>
        <v>14674.700000000006</v>
      </c>
    </row>
    <row r="552" spans="1:15" ht="15.6" thickBot="1" x14ac:dyDescent="0.3">
      <c r="A552" s="85"/>
      <c r="B552" s="406"/>
      <c r="C552" s="403"/>
      <c r="D552" s="94" t="s">
        <v>36</v>
      </c>
      <c r="E552" s="95">
        <v>110</v>
      </c>
      <c r="F552" s="171">
        <v>46163</v>
      </c>
      <c r="G552" s="95">
        <v>188</v>
      </c>
      <c r="H552" s="171">
        <v>46197</v>
      </c>
      <c r="I552" s="86">
        <f>G552-E552</f>
        <v>78</v>
      </c>
      <c r="J552" s="86">
        <v>1000</v>
      </c>
      <c r="K552" s="93">
        <v>1200</v>
      </c>
      <c r="L552" s="383"/>
      <c r="M552" s="90">
        <f t="shared" si="140"/>
        <v>94600</v>
      </c>
      <c r="N552" s="98"/>
      <c r="O552" s="92">
        <f t="shared" si="141"/>
        <v>94600</v>
      </c>
    </row>
    <row r="553" spans="1:15" ht="15.6" thickBot="1" x14ac:dyDescent="0.3">
      <c r="A553" s="85"/>
      <c r="B553" s="406"/>
      <c r="C553" s="403"/>
      <c r="D553" s="117" t="s">
        <v>37</v>
      </c>
      <c r="E553" s="118"/>
      <c r="F553" s="119"/>
      <c r="G553" s="118"/>
      <c r="H553" s="119"/>
      <c r="I553" s="120">
        <v>1</v>
      </c>
      <c r="J553" s="120"/>
      <c r="K553" s="120">
        <v>25000</v>
      </c>
      <c r="L553" s="383"/>
      <c r="M553" s="90">
        <f t="shared" si="140"/>
        <v>25000</v>
      </c>
      <c r="N553" s="99"/>
      <c r="O553" s="92">
        <f t="shared" ref="O553:O556" si="142">M553+L553-N553</f>
        <v>25000</v>
      </c>
    </row>
    <row r="554" spans="1:15" ht="15.6" thickBot="1" x14ac:dyDescent="0.3">
      <c r="A554" s="85"/>
      <c r="B554" s="406"/>
      <c r="C554" s="403"/>
      <c r="D554" s="94" t="s">
        <v>90</v>
      </c>
      <c r="E554" s="95"/>
      <c r="F554" s="96"/>
      <c r="G554" s="95"/>
      <c r="H554" s="96"/>
      <c r="I554" s="93"/>
      <c r="J554" s="93"/>
      <c r="K554" s="93">
        <v>0</v>
      </c>
      <c r="L554" s="383"/>
      <c r="M554" s="90">
        <f t="shared" si="140"/>
        <v>0</v>
      </c>
      <c r="N554" s="98"/>
      <c r="O554" s="92">
        <f t="shared" si="142"/>
        <v>0</v>
      </c>
    </row>
    <row r="555" spans="1:15" ht="15.6" thickBot="1" x14ac:dyDescent="0.3">
      <c r="A555" s="85"/>
      <c r="B555" s="406"/>
      <c r="C555" s="403"/>
      <c r="D555" s="94" t="s">
        <v>91</v>
      </c>
      <c r="E555" s="95"/>
      <c r="F555" s="96"/>
      <c r="G555" s="95"/>
      <c r="H555" s="96"/>
      <c r="I555" s="93">
        <v>1</v>
      </c>
      <c r="J555" s="93"/>
      <c r="K555" s="93">
        <v>2000</v>
      </c>
      <c r="L555" s="383"/>
      <c r="M555" s="90">
        <f t="shared" si="140"/>
        <v>2000</v>
      </c>
      <c r="N555" s="98"/>
      <c r="O555" s="92">
        <f t="shared" si="142"/>
        <v>2000</v>
      </c>
    </row>
    <row r="556" spans="1:15" ht="30.6" thickBot="1" x14ac:dyDescent="0.3">
      <c r="A556" s="85"/>
      <c r="B556" s="406"/>
      <c r="C556" s="403"/>
      <c r="D556" s="94" t="s">
        <v>92</v>
      </c>
      <c r="E556" s="95"/>
      <c r="F556" s="96"/>
      <c r="G556" s="95"/>
      <c r="H556" s="96"/>
      <c r="I556" s="93">
        <v>0</v>
      </c>
      <c r="J556" s="93"/>
      <c r="K556" s="93">
        <v>0</v>
      </c>
      <c r="L556" s="383"/>
      <c r="M556" s="90">
        <f t="shared" si="140"/>
        <v>0</v>
      </c>
      <c r="N556" s="98"/>
      <c r="O556" s="92">
        <f t="shared" si="142"/>
        <v>0</v>
      </c>
    </row>
    <row r="557" spans="1:15" x14ac:dyDescent="0.25">
      <c r="A557" s="85"/>
      <c r="B557" s="406"/>
      <c r="C557" s="403"/>
      <c r="D557" s="94" t="s">
        <v>189</v>
      </c>
      <c r="E557" s="95"/>
      <c r="F557" s="96"/>
      <c r="G557" s="95"/>
      <c r="H557" s="96"/>
      <c r="I557" s="93"/>
      <c r="J557" s="93"/>
      <c r="K557" s="93"/>
      <c r="L557" s="384"/>
      <c r="M557" s="90">
        <f t="shared" si="140"/>
        <v>0</v>
      </c>
      <c r="N557" s="98"/>
      <c r="O557" s="92">
        <f>L551</f>
        <v>17924.8</v>
      </c>
    </row>
    <row r="558" spans="1:15" ht="16.2" thickBot="1" x14ac:dyDescent="0.35">
      <c r="A558" s="93"/>
      <c r="B558" s="407"/>
      <c r="C558" s="404"/>
      <c r="D558" s="123" t="s">
        <v>38</v>
      </c>
      <c r="E558" s="124"/>
      <c r="F558" s="125"/>
      <c r="G558" s="124"/>
      <c r="H558" s="125"/>
      <c r="I558" s="126"/>
      <c r="J558" s="126"/>
      <c r="K558" s="126"/>
      <c r="L558" s="127"/>
      <c r="M558" s="127"/>
      <c r="N558" s="128"/>
      <c r="O558" s="107">
        <f>SUM(O551:O557)</f>
        <v>154199.5</v>
      </c>
    </row>
    <row r="559" spans="1:15" ht="15.6" x14ac:dyDescent="0.3">
      <c r="A559" s="93"/>
      <c r="B559" s="150"/>
      <c r="C559" s="151"/>
      <c r="D559" s="112"/>
      <c r="E559" s="138"/>
      <c r="F559" s="139"/>
      <c r="G559" s="138"/>
      <c r="H559" s="139"/>
      <c r="L559" s="140"/>
      <c r="M559" s="140"/>
      <c r="N559" s="141"/>
      <c r="O559" s="142"/>
    </row>
    <row r="560" spans="1:15" ht="31.8" thickBot="1" x14ac:dyDescent="0.3">
      <c r="A560" s="93"/>
      <c r="B560" s="143" t="s">
        <v>0</v>
      </c>
      <c r="C560" s="144" t="s">
        <v>1</v>
      </c>
      <c r="D560" s="143"/>
      <c r="E560" s="144" t="s">
        <v>198</v>
      </c>
      <c r="F560" s="145" t="s">
        <v>194</v>
      </c>
      <c r="G560" s="144" t="s">
        <v>196</v>
      </c>
      <c r="H560" s="145" t="s">
        <v>9</v>
      </c>
      <c r="I560" s="143" t="s">
        <v>2</v>
      </c>
      <c r="J560" s="144" t="s">
        <v>10</v>
      </c>
      <c r="K560" s="144" t="s">
        <v>13</v>
      </c>
      <c r="L560" s="144" t="s">
        <v>14</v>
      </c>
      <c r="M560" s="146" t="s">
        <v>15</v>
      </c>
      <c r="N560" s="147" t="s">
        <v>11</v>
      </c>
      <c r="O560" s="148" t="s">
        <v>12</v>
      </c>
    </row>
    <row r="561" spans="1:15" ht="15.6" thickBot="1" x14ac:dyDescent="0.3">
      <c r="A561" s="85">
        <v>1</v>
      </c>
      <c r="B561" s="405" t="s">
        <v>185</v>
      </c>
      <c r="C561" s="402" t="s">
        <v>141</v>
      </c>
      <c r="D561" s="87" t="s">
        <v>35</v>
      </c>
      <c r="E561" s="311">
        <v>165.4</v>
      </c>
      <c r="F561" s="171">
        <v>46163</v>
      </c>
      <c r="G561" s="311">
        <v>165.4</v>
      </c>
      <c r="H561" s="171">
        <v>46197</v>
      </c>
      <c r="I561" s="86">
        <f>G561-E561</f>
        <v>0</v>
      </c>
      <c r="J561" s="86"/>
      <c r="K561" s="86">
        <v>257</v>
      </c>
      <c r="L561" s="382">
        <v>0.1</v>
      </c>
      <c r="M561" s="90">
        <f t="shared" ref="M561:M567" si="143">I561*K561+J561</f>
        <v>0</v>
      </c>
      <c r="N561" s="91">
        <v>0</v>
      </c>
      <c r="O561" s="92">
        <f t="shared" ref="O561:O562" si="144">M561-N561</f>
        <v>0</v>
      </c>
    </row>
    <row r="562" spans="1:15" ht="15.6" thickBot="1" x14ac:dyDescent="0.3">
      <c r="A562" s="85"/>
      <c r="B562" s="406"/>
      <c r="C562" s="403"/>
      <c r="D562" s="94" t="s">
        <v>36</v>
      </c>
      <c r="E562" s="95">
        <v>150</v>
      </c>
      <c r="F562" s="171">
        <v>46163</v>
      </c>
      <c r="G562" s="95">
        <v>158</v>
      </c>
      <c r="H562" s="171">
        <v>46197</v>
      </c>
      <c r="I562" s="86">
        <f>G562-E562</f>
        <v>8</v>
      </c>
      <c r="J562" s="86">
        <v>1000</v>
      </c>
      <c r="K562" s="93">
        <v>1200</v>
      </c>
      <c r="L562" s="383"/>
      <c r="M562" s="90">
        <f t="shared" si="143"/>
        <v>10600</v>
      </c>
      <c r="N562" s="98"/>
      <c r="O562" s="92">
        <f t="shared" si="144"/>
        <v>10600</v>
      </c>
    </row>
    <row r="563" spans="1:15" ht="15.6" thickBot="1" x14ac:dyDescent="0.3">
      <c r="A563" s="85"/>
      <c r="B563" s="406"/>
      <c r="C563" s="403"/>
      <c r="D563" s="117" t="s">
        <v>37</v>
      </c>
      <c r="E563" s="118"/>
      <c r="F563" s="119"/>
      <c r="G563" s="118"/>
      <c r="H563" s="119"/>
      <c r="I563" s="120">
        <v>1</v>
      </c>
      <c r="J563" s="120"/>
      <c r="K563" s="120">
        <v>25000</v>
      </c>
      <c r="L563" s="383"/>
      <c r="M563" s="90">
        <f t="shared" si="143"/>
        <v>25000</v>
      </c>
      <c r="N563" s="99"/>
      <c r="O563" s="92">
        <f t="shared" ref="O563:O566" si="145">M563+L563-N563</f>
        <v>25000</v>
      </c>
    </row>
    <row r="564" spans="1:15" ht="15.6" thickBot="1" x14ac:dyDescent="0.3">
      <c r="A564" s="85"/>
      <c r="B564" s="406"/>
      <c r="C564" s="403"/>
      <c r="D564" s="94" t="s">
        <v>90</v>
      </c>
      <c r="E564" s="95"/>
      <c r="F564" s="96"/>
      <c r="G564" s="95"/>
      <c r="H564" s="96"/>
      <c r="I564" s="93"/>
      <c r="J564" s="93"/>
      <c r="K564" s="93">
        <v>0</v>
      </c>
      <c r="L564" s="383"/>
      <c r="M564" s="90">
        <f t="shared" si="143"/>
        <v>0</v>
      </c>
      <c r="N564" s="98"/>
      <c r="O564" s="92">
        <f t="shared" si="145"/>
        <v>0</v>
      </c>
    </row>
    <row r="565" spans="1:15" ht="15.6" thickBot="1" x14ac:dyDescent="0.3">
      <c r="A565" s="85"/>
      <c r="B565" s="406"/>
      <c r="C565" s="403"/>
      <c r="D565" s="94" t="s">
        <v>91</v>
      </c>
      <c r="E565" s="95"/>
      <c r="F565" s="96"/>
      <c r="G565" s="95"/>
      <c r="H565" s="96"/>
      <c r="I565" s="93">
        <v>1</v>
      </c>
      <c r="J565" s="93"/>
      <c r="K565" s="93">
        <v>2000</v>
      </c>
      <c r="L565" s="383"/>
      <c r="M565" s="90">
        <f t="shared" si="143"/>
        <v>2000</v>
      </c>
      <c r="N565" s="98"/>
      <c r="O565" s="92">
        <f t="shared" si="145"/>
        <v>2000</v>
      </c>
    </row>
    <row r="566" spans="1:15" ht="30.6" thickBot="1" x14ac:dyDescent="0.3">
      <c r="A566" s="85"/>
      <c r="B566" s="406"/>
      <c r="C566" s="403"/>
      <c r="D566" s="94" t="s">
        <v>92</v>
      </c>
      <c r="E566" s="95"/>
      <c r="F566" s="96"/>
      <c r="G566" s="95"/>
      <c r="H566" s="96"/>
      <c r="I566" s="93">
        <v>0</v>
      </c>
      <c r="J566" s="93"/>
      <c r="K566" s="93">
        <v>0</v>
      </c>
      <c r="L566" s="383"/>
      <c r="M566" s="90">
        <f t="shared" si="143"/>
        <v>0</v>
      </c>
      <c r="N566" s="98"/>
      <c r="O566" s="92">
        <f t="shared" si="145"/>
        <v>0</v>
      </c>
    </row>
    <row r="567" spans="1:15" x14ac:dyDescent="0.25">
      <c r="A567" s="85"/>
      <c r="B567" s="406"/>
      <c r="C567" s="403"/>
      <c r="D567" s="94" t="s">
        <v>189</v>
      </c>
      <c r="E567" s="95"/>
      <c r="F567" s="96"/>
      <c r="G567" s="95"/>
      <c r="H567" s="96"/>
      <c r="I567" s="93"/>
      <c r="J567" s="93"/>
      <c r="K567" s="93"/>
      <c r="L567" s="384"/>
      <c r="M567" s="90">
        <f t="shared" si="143"/>
        <v>0</v>
      </c>
      <c r="N567" s="98"/>
      <c r="O567" s="92">
        <f>L561</f>
        <v>0.1</v>
      </c>
    </row>
    <row r="568" spans="1:15" ht="16.2" thickBot="1" x14ac:dyDescent="0.35">
      <c r="A568" s="93"/>
      <c r="B568" s="407"/>
      <c r="C568" s="404"/>
      <c r="D568" s="123" t="s">
        <v>38</v>
      </c>
      <c r="E568" s="124"/>
      <c r="F568" s="125"/>
      <c r="G568" s="124"/>
      <c r="H568" s="125"/>
      <c r="I568" s="126"/>
      <c r="J568" s="126"/>
      <c r="K568" s="126"/>
      <c r="L568" s="127"/>
      <c r="M568" s="127"/>
      <c r="N568" s="128"/>
      <c r="O568" s="107">
        <f>SUM(O561:O567)</f>
        <v>37600.1</v>
      </c>
    </row>
    <row r="569" spans="1:15" ht="31.8" thickBot="1" x14ac:dyDescent="0.3">
      <c r="A569" s="93"/>
      <c r="B569" s="143" t="s">
        <v>0</v>
      </c>
      <c r="C569" s="144" t="s">
        <v>1</v>
      </c>
      <c r="D569" s="143"/>
      <c r="E569" s="144" t="s">
        <v>198</v>
      </c>
      <c r="F569" s="145" t="s">
        <v>194</v>
      </c>
      <c r="G569" s="144" t="s">
        <v>196</v>
      </c>
      <c r="H569" s="145" t="s">
        <v>9</v>
      </c>
      <c r="I569" s="143" t="s">
        <v>2</v>
      </c>
      <c r="J569" s="144" t="s">
        <v>10</v>
      </c>
      <c r="K569" s="144" t="s">
        <v>13</v>
      </c>
      <c r="L569" s="144" t="s">
        <v>14</v>
      </c>
      <c r="M569" s="146" t="s">
        <v>15</v>
      </c>
      <c r="N569" s="147" t="s">
        <v>11</v>
      </c>
      <c r="O569" s="148" t="s">
        <v>12</v>
      </c>
    </row>
    <row r="570" spans="1:15" ht="15.6" thickBot="1" x14ac:dyDescent="0.3">
      <c r="A570" s="85">
        <v>1</v>
      </c>
      <c r="B570" s="405" t="s">
        <v>142</v>
      </c>
      <c r="C570" s="392">
        <v>1003</v>
      </c>
      <c r="D570" s="87" t="s">
        <v>35</v>
      </c>
      <c r="E570" s="88">
        <v>234.3</v>
      </c>
      <c r="F570" s="171">
        <v>46163</v>
      </c>
      <c r="G570" s="88">
        <v>262.7</v>
      </c>
      <c r="H570" s="171">
        <v>46197</v>
      </c>
      <c r="I570" s="86">
        <f>G570-E570</f>
        <v>28.399999999999977</v>
      </c>
      <c r="J570" s="86"/>
      <c r="K570" s="86">
        <v>257</v>
      </c>
      <c r="L570" s="382">
        <v>-44.9</v>
      </c>
      <c r="M570" s="90">
        <f t="shared" ref="M570:M576" si="146">I570*K570+J570</f>
        <v>7298.7999999999938</v>
      </c>
      <c r="N570" s="91">
        <v>0</v>
      </c>
      <c r="O570" s="92">
        <f t="shared" ref="O570:O571" si="147">M570-N570</f>
        <v>7298.7999999999938</v>
      </c>
    </row>
    <row r="571" spans="1:15" ht="15.6" thickBot="1" x14ac:dyDescent="0.3">
      <c r="A571" s="310"/>
      <c r="B571" s="406"/>
      <c r="C571" s="393"/>
      <c r="D571" s="94" t="s">
        <v>36</v>
      </c>
      <c r="E571" s="269">
        <v>36</v>
      </c>
      <c r="F571" s="171">
        <v>46163</v>
      </c>
      <c r="G571" s="269">
        <v>52</v>
      </c>
      <c r="H571" s="171">
        <v>46197</v>
      </c>
      <c r="I571" s="86">
        <f>G571-E571</f>
        <v>16</v>
      </c>
      <c r="J571" s="86">
        <v>1000</v>
      </c>
      <c r="K571" s="93">
        <v>1200</v>
      </c>
      <c r="L571" s="383"/>
      <c r="M571" s="312">
        <f t="shared" si="146"/>
        <v>20200</v>
      </c>
      <c r="N571" s="323"/>
      <c r="O571" s="314">
        <f t="shared" si="147"/>
        <v>20200</v>
      </c>
    </row>
    <row r="572" spans="1:15" ht="15.6" thickBot="1" x14ac:dyDescent="0.3">
      <c r="A572" s="85"/>
      <c r="B572" s="406"/>
      <c r="C572" s="393"/>
      <c r="D572" s="117" t="s">
        <v>37</v>
      </c>
      <c r="E572" s="118"/>
      <c r="F572" s="119"/>
      <c r="G572" s="118"/>
      <c r="H572" s="119"/>
      <c r="I572" s="120">
        <v>1</v>
      </c>
      <c r="J572" s="120"/>
      <c r="K572" s="120">
        <v>25000</v>
      </c>
      <c r="L572" s="383"/>
      <c r="M572" s="90">
        <f t="shared" si="146"/>
        <v>25000</v>
      </c>
      <c r="N572" s="99"/>
      <c r="O572" s="92">
        <f t="shared" ref="O572:O575" si="148">M572+L572-N572</f>
        <v>25000</v>
      </c>
    </row>
    <row r="573" spans="1:15" ht="15.6" thickBot="1" x14ac:dyDescent="0.3">
      <c r="A573" s="85"/>
      <c r="B573" s="406"/>
      <c r="C573" s="393"/>
      <c r="D573" s="321" t="s">
        <v>90</v>
      </c>
      <c r="E573" s="156"/>
      <c r="F573" s="274"/>
      <c r="G573" s="156"/>
      <c r="H573" s="274"/>
      <c r="I573" s="322"/>
      <c r="J573" s="93"/>
      <c r="K573" s="93">
        <v>0</v>
      </c>
      <c r="L573" s="383"/>
      <c r="M573" s="267">
        <f t="shared" si="146"/>
        <v>0</v>
      </c>
      <c r="N573" s="272"/>
      <c r="O573" s="273">
        <f t="shared" si="148"/>
        <v>0</v>
      </c>
    </row>
    <row r="574" spans="1:15" ht="15.6" thickBot="1" x14ac:dyDescent="0.3">
      <c r="A574" s="85"/>
      <c r="B574" s="406"/>
      <c r="C574" s="393"/>
      <c r="D574" s="94" t="s">
        <v>91</v>
      </c>
      <c r="E574" s="95"/>
      <c r="F574" s="96"/>
      <c r="G574" s="95"/>
      <c r="H574" s="96"/>
      <c r="I574" s="93">
        <v>1</v>
      </c>
      <c r="J574" s="93"/>
      <c r="K574" s="93">
        <v>2000</v>
      </c>
      <c r="L574" s="383"/>
      <c r="M574" s="90">
        <f t="shared" si="146"/>
        <v>2000</v>
      </c>
      <c r="N574" s="98"/>
      <c r="O574" s="92">
        <f t="shared" si="148"/>
        <v>2000</v>
      </c>
    </row>
    <row r="575" spans="1:15" ht="30.6" thickBot="1" x14ac:dyDescent="0.3">
      <c r="A575" s="85"/>
      <c r="B575" s="406"/>
      <c r="C575" s="393"/>
      <c r="D575" s="94" t="s">
        <v>92</v>
      </c>
      <c r="E575" s="95"/>
      <c r="F575" s="96"/>
      <c r="G575" s="95"/>
      <c r="H575" s="96"/>
      <c r="I575" s="93">
        <v>0</v>
      </c>
      <c r="J575" s="93"/>
      <c r="K575" s="93">
        <v>0</v>
      </c>
      <c r="L575" s="383"/>
      <c r="M575" s="90">
        <f t="shared" si="146"/>
        <v>0</v>
      </c>
      <c r="N575" s="98"/>
      <c r="O575" s="92">
        <f t="shared" si="148"/>
        <v>0</v>
      </c>
    </row>
    <row r="576" spans="1:15" x14ac:dyDescent="0.25">
      <c r="A576" s="85"/>
      <c r="B576" s="406"/>
      <c r="C576" s="393"/>
      <c r="D576" s="94" t="s">
        <v>189</v>
      </c>
      <c r="E576" s="95"/>
      <c r="F576" s="96"/>
      <c r="G576" s="95"/>
      <c r="H576" s="96"/>
      <c r="I576" s="93"/>
      <c r="J576" s="93"/>
      <c r="K576" s="93"/>
      <c r="L576" s="384"/>
      <c r="M576" s="90">
        <f t="shared" si="146"/>
        <v>0</v>
      </c>
      <c r="N576" s="98"/>
      <c r="O576" s="92">
        <f>L570</f>
        <v>-44.9</v>
      </c>
    </row>
    <row r="577" spans="1:15" ht="16.2" thickBot="1" x14ac:dyDescent="0.35">
      <c r="A577" s="93"/>
      <c r="B577" s="407"/>
      <c r="C577" s="394"/>
      <c r="D577" s="123" t="s">
        <v>38</v>
      </c>
      <c r="E577" s="124"/>
      <c r="F577" s="125"/>
      <c r="G577" s="124"/>
      <c r="H577" s="125"/>
      <c r="I577" s="126"/>
      <c r="J577" s="126"/>
      <c r="K577" s="126"/>
      <c r="L577" s="127"/>
      <c r="M577" s="127"/>
      <c r="N577" s="128"/>
      <c r="O577" s="107">
        <f>SUM(O570:O576)</f>
        <v>54453.899999999994</v>
      </c>
    </row>
    <row r="578" spans="1:15" ht="15.6" x14ac:dyDescent="0.3">
      <c r="A578" s="93"/>
      <c r="B578" s="150"/>
      <c r="C578" s="137"/>
      <c r="D578" s="112"/>
      <c r="E578" s="138"/>
      <c r="F578" s="139"/>
      <c r="G578" s="138"/>
      <c r="H578" s="139"/>
      <c r="L578" s="140"/>
      <c r="M578" s="140"/>
      <c r="N578" s="141"/>
      <c r="O578" s="142"/>
    </row>
    <row r="579" spans="1:15" ht="15.6" x14ac:dyDescent="0.3">
      <c r="A579" s="93"/>
      <c r="B579" s="150"/>
      <c r="C579" s="137"/>
      <c r="D579" s="112"/>
      <c r="E579" s="138"/>
      <c r="F579" s="139"/>
      <c r="G579" s="138"/>
      <c r="H579" s="139"/>
      <c r="L579" s="140"/>
      <c r="M579" s="140"/>
      <c r="N579" s="141"/>
      <c r="O579" s="142"/>
    </row>
    <row r="580" spans="1:15" ht="15.6" x14ac:dyDescent="0.3">
      <c r="A580" s="93"/>
      <c r="B580" s="150"/>
      <c r="C580" s="137"/>
      <c r="D580" s="112"/>
      <c r="E580" s="138"/>
      <c r="F580" s="139"/>
      <c r="G580" s="138"/>
      <c r="H580" s="139"/>
      <c r="L580" s="140"/>
      <c r="M580" s="140"/>
      <c r="N580" s="141"/>
      <c r="O580" s="142"/>
    </row>
    <row r="581" spans="1:15" ht="31.8" thickBot="1" x14ac:dyDescent="0.3">
      <c r="A581" s="93"/>
      <c r="B581" s="143" t="s">
        <v>0</v>
      </c>
      <c r="C581" s="144" t="s">
        <v>1</v>
      </c>
      <c r="D581" s="143"/>
      <c r="E581" s="144" t="s">
        <v>198</v>
      </c>
      <c r="F581" s="145" t="s">
        <v>194</v>
      </c>
      <c r="G581" s="144" t="s">
        <v>196</v>
      </c>
      <c r="H581" s="145" t="s">
        <v>9</v>
      </c>
      <c r="I581" s="143" t="s">
        <v>2</v>
      </c>
      <c r="J581" s="144" t="s">
        <v>10</v>
      </c>
      <c r="K581" s="144" t="s">
        <v>13</v>
      </c>
      <c r="L581" s="144" t="s">
        <v>14</v>
      </c>
      <c r="M581" s="146" t="s">
        <v>15</v>
      </c>
      <c r="N581" s="147" t="s">
        <v>11</v>
      </c>
      <c r="O581" s="148" t="s">
        <v>12</v>
      </c>
    </row>
    <row r="582" spans="1:15" ht="15.6" thickBot="1" x14ac:dyDescent="0.3">
      <c r="A582" s="85">
        <v>1</v>
      </c>
      <c r="B582" s="405" t="s">
        <v>143</v>
      </c>
      <c r="C582" s="392">
        <v>1004</v>
      </c>
      <c r="D582" s="87" t="s">
        <v>35</v>
      </c>
      <c r="E582" s="88">
        <v>297.8</v>
      </c>
      <c r="F582" s="171">
        <v>46163</v>
      </c>
      <c r="G582" s="88">
        <v>308.10000000000002</v>
      </c>
      <c r="H582" s="171">
        <v>46197</v>
      </c>
      <c r="I582" s="86">
        <f>G582-E582</f>
        <v>10.300000000000011</v>
      </c>
      <c r="J582" s="86"/>
      <c r="K582" s="86">
        <v>257</v>
      </c>
      <c r="L582" s="382">
        <v>-78.400000000000006</v>
      </c>
      <c r="M582" s="90">
        <f t="shared" ref="M582:M588" si="149">I582*K582+J582</f>
        <v>2647.1000000000031</v>
      </c>
      <c r="N582" s="91">
        <v>0</v>
      </c>
      <c r="O582" s="92">
        <f t="shared" ref="O582:O583" si="150">M582-N582</f>
        <v>2647.1000000000031</v>
      </c>
    </row>
    <row r="583" spans="1:15" ht="15.6" thickBot="1" x14ac:dyDescent="0.3">
      <c r="A583" s="85"/>
      <c r="B583" s="406"/>
      <c r="C583" s="393"/>
      <c r="D583" s="94" t="s">
        <v>36</v>
      </c>
      <c r="E583" s="95">
        <v>277</v>
      </c>
      <c r="F583" s="171">
        <v>46163</v>
      </c>
      <c r="G583" s="95">
        <v>286</v>
      </c>
      <c r="H583" s="171">
        <v>46197</v>
      </c>
      <c r="I583" s="86">
        <f>G583-E583</f>
        <v>9</v>
      </c>
      <c r="J583" s="86">
        <v>1000</v>
      </c>
      <c r="K583" s="93">
        <v>1200</v>
      </c>
      <c r="L583" s="383"/>
      <c r="M583" s="90">
        <f t="shared" si="149"/>
        <v>11800</v>
      </c>
      <c r="N583" s="98"/>
      <c r="O583" s="92">
        <f t="shared" si="150"/>
        <v>11800</v>
      </c>
    </row>
    <row r="584" spans="1:15" ht="15.6" thickBot="1" x14ac:dyDescent="0.3">
      <c r="A584" s="85"/>
      <c r="B584" s="406"/>
      <c r="C584" s="393"/>
      <c r="D584" s="117" t="s">
        <v>37</v>
      </c>
      <c r="E584" s="118"/>
      <c r="F584" s="119"/>
      <c r="G584" s="118"/>
      <c r="H584" s="119"/>
      <c r="I584" s="120">
        <v>1</v>
      </c>
      <c r="J584" s="120"/>
      <c r="K584" s="120">
        <v>25000</v>
      </c>
      <c r="L584" s="383"/>
      <c r="M584" s="90">
        <f t="shared" si="149"/>
        <v>25000</v>
      </c>
      <c r="N584" s="99"/>
      <c r="O584" s="92">
        <f t="shared" ref="O584:O587" si="151">M584+L584-N584</f>
        <v>25000</v>
      </c>
    </row>
    <row r="585" spans="1:15" ht="15.6" thickBot="1" x14ac:dyDescent="0.3">
      <c r="A585" s="85"/>
      <c r="B585" s="406"/>
      <c r="C585" s="393"/>
      <c r="D585" s="94" t="s">
        <v>90</v>
      </c>
      <c r="E585" s="95"/>
      <c r="F585" s="96"/>
      <c r="G585" s="95"/>
      <c r="H585" s="96"/>
      <c r="I585" s="93"/>
      <c r="J585" s="93"/>
      <c r="K585" s="93">
        <v>0</v>
      </c>
      <c r="L585" s="383"/>
      <c r="M585" s="90">
        <f t="shared" si="149"/>
        <v>0</v>
      </c>
      <c r="N585" s="98"/>
      <c r="O585" s="92">
        <f t="shared" si="151"/>
        <v>0</v>
      </c>
    </row>
    <row r="586" spans="1:15" ht="15.6" thickBot="1" x14ac:dyDescent="0.3">
      <c r="A586" s="85"/>
      <c r="B586" s="406"/>
      <c r="C586" s="393"/>
      <c r="D586" s="94" t="s">
        <v>91</v>
      </c>
      <c r="E586" s="95"/>
      <c r="F586" s="96"/>
      <c r="G586" s="95"/>
      <c r="H586" s="96"/>
      <c r="I586" s="93">
        <v>1</v>
      </c>
      <c r="J586" s="93"/>
      <c r="K586" s="93">
        <v>2000</v>
      </c>
      <c r="L586" s="383"/>
      <c r="M586" s="90">
        <f t="shared" si="149"/>
        <v>2000</v>
      </c>
      <c r="N586" s="98"/>
      <c r="O586" s="92">
        <f t="shared" si="151"/>
        <v>2000</v>
      </c>
    </row>
    <row r="587" spans="1:15" ht="30.6" thickBot="1" x14ac:dyDescent="0.3">
      <c r="A587" s="85"/>
      <c r="B587" s="406"/>
      <c r="C587" s="393"/>
      <c r="D587" s="94" t="s">
        <v>92</v>
      </c>
      <c r="E587" s="95"/>
      <c r="F587" s="96"/>
      <c r="G587" s="95"/>
      <c r="H587" s="96"/>
      <c r="I587" s="93">
        <v>0</v>
      </c>
      <c r="J587" s="93"/>
      <c r="K587" s="93">
        <v>0</v>
      </c>
      <c r="L587" s="383"/>
      <c r="M587" s="90">
        <f t="shared" si="149"/>
        <v>0</v>
      </c>
      <c r="N587" s="98"/>
      <c r="O587" s="92">
        <f t="shared" si="151"/>
        <v>0</v>
      </c>
    </row>
    <row r="588" spans="1:15" x14ac:dyDescent="0.25">
      <c r="A588" s="85"/>
      <c r="B588" s="406"/>
      <c r="C588" s="393"/>
      <c r="D588" s="94" t="s">
        <v>189</v>
      </c>
      <c r="E588" s="95"/>
      <c r="F588" s="96"/>
      <c r="G588" s="95"/>
      <c r="H588" s="96"/>
      <c r="I588" s="93"/>
      <c r="J588" s="93"/>
      <c r="K588" s="93"/>
      <c r="L588" s="384"/>
      <c r="M588" s="90">
        <f t="shared" si="149"/>
        <v>0</v>
      </c>
      <c r="N588" s="98"/>
      <c r="O588" s="92">
        <f>L582</f>
        <v>-78.400000000000006</v>
      </c>
    </row>
    <row r="589" spans="1:15" ht="16.2" thickBot="1" x14ac:dyDescent="0.35">
      <c r="A589" s="93"/>
      <c r="B589" s="407"/>
      <c r="C589" s="394"/>
      <c r="D589" s="123" t="s">
        <v>38</v>
      </c>
      <c r="E589" s="124"/>
      <c r="F589" s="125"/>
      <c r="G589" s="124"/>
      <c r="H589" s="125"/>
      <c r="I589" s="126"/>
      <c r="J589" s="126"/>
      <c r="K589" s="126"/>
      <c r="L589" s="127"/>
      <c r="M589" s="127"/>
      <c r="N589" s="128"/>
      <c r="O589" s="107">
        <f>SUM(O582:O588)</f>
        <v>41368.700000000004</v>
      </c>
    </row>
    <row r="590" spans="1:15" ht="15.6" x14ac:dyDescent="0.3">
      <c r="B590" s="70"/>
      <c r="E590" s="138"/>
      <c r="F590" s="139"/>
      <c r="G590" s="138"/>
      <c r="H590" s="139"/>
      <c r="L590" s="140"/>
      <c r="M590" s="140"/>
      <c r="N590" s="141"/>
      <c r="O590" s="142"/>
    </row>
    <row r="591" spans="1:15" ht="15.6" x14ac:dyDescent="0.3">
      <c r="B591" s="70"/>
      <c r="E591" s="138"/>
      <c r="F591" s="139"/>
      <c r="G591" s="138"/>
      <c r="H591" s="139"/>
      <c r="L591" s="140"/>
      <c r="M591" s="140"/>
      <c r="N591" s="141"/>
      <c r="O591" s="142"/>
    </row>
    <row r="592" spans="1:15" ht="15.6" x14ac:dyDescent="0.3">
      <c r="B592" s="70"/>
      <c r="E592" s="138"/>
      <c r="F592" s="139"/>
      <c r="G592" s="138"/>
      <c r="H592" s="139"/>
      <c r="L592" s="140"/>
      <c r="M592" s="140"/>
      <c r="N592" s="141"/>
      <c r="O592" s="142"/>
    </row>
    <row r="593" spans="1:15" ht="15.6" x14ac:dyDescent="0.3">
      <c r="B593" s="70"/>
      <c r="E593" s="138"/>
      <c r="F593" s="139"/>
      <c r="G593" s="138"/>
      <c r="H593" s="139"/>
      <c r="L593" s="140"/>
      <c r="M593" s="140"/>
      <c r="N593" s="141"/>
      <c r="O593" s="142"/>
    </row>
    <row r="594" spans="1:15" ht="15.6" x14ac:dyDescent="0.3">
      <c r="B594" s="70"/>
      <c r="E594" s="138"/>
      <c r="F594" s="139"/>
      <c r="G594" s="138"/>
      <c r="H594" s="139"/>
      <c r="L594" s="140"/>
      <c r="M594" s="140"/>
      <c r="N594" s="141"/>
      <c r="O594" s="142"/>
    </row>
    <row r="595" spans="1:15" ht="15.6" x14ac:dyDescent="0.3">
      <c r="B595" s="70"/>
      <c r="E595" s="138"/>
      <c r="F595" s="139"/>
      <c r="G595" s="138"/>
      <c r="H595" s="139"/>
      <c r="L595" s="140"/>
      <c r="M595" s="140"/>
      <c r="N595" s="141"/>
      <c r="O595" s="142"/>
    </row>
    <row r="596" spans="1:15" ht="15.6" x14ac:dyDescent="0.3">
      <c r="B596" s="70"/>
      <c r="E596" s="138"/>
      <c r="F596" s="139"/>
      <c r="G596" s="138"/>
      <c r="H596" s="139"/>
      <c r="L596" s="140"/>
      <c r="M596" s="140"/>
      <c r="N596" s="141"/>
      <c r="O596" s="142"/>
    </row>
    <row r="597" spans="1:15" ht="15.6" x14ac:dyDescent="0.3">
      <c r="B597" s="70"/>
      <c r="E597" s="138"/>
      <c r="F597" s="139"/>
      <c r="G597" s="138"/>
      <c r="H597" s="139"/>
      <c r="L597" s="140"/>
      <c r="M597" s="140"/>
      <c r="N597" s="141"/>
      <c r="O597" s="142"/>
    </row>
    <row r="598" spans="1:15" ht="15.6" x14ac:dyDescent="0.3">
      <c r="B598" s="70"/>
      <c r="E598" s="138"/>
      <c r="F598" s="139"/>
      <c r="G598" s="138"/>
      <c r="H598" s="139"/>
      <c r="L598" s="140"/>
      <c r="M598" s="140"/>
      <c r="N598" s="141"/>
      <c r="O598" s="142"/>
    </row>
    <row r="599" spans="1:15" ht="15.6" x14ac:dyDescent="0.3">
      <c r="B599" s="70"/>
      <c r="E599" s="138"/>
      <c r="F599" s="139"/>
      <c r="G599" s="138"/>
      <c r="H599" s="139"/>
      <c r="L599" s="140"/>
      <c r="M599" s="140"/>
      <c r="N599" s="141"/>
      <c r="O599" s="142"/>
    </row>
    <row r="600" spans="1:15" ht="15.6" x14ac:dyDescent="0.3">
      <c r="B600" s="70"/>
      <c r="E600" s="138"/>
      <c r="F600" s="139"/>
      <c r="G600" s="138"/>
      <c r="H600" s="139"/>
      <c r="L600" s="140"/>
      <c r="M600" s="140"/>
      <c r="N600" s="141"/>
      <c r="O600" s="142"/>
    </row>
    <row r="601" spans="1:15" ht="15.6" x14ac:dyDescent="0.3">
      <c r="B601" s="70"/>
      <c r="E601" s="138"/>
      <c r="F601" s="139"/>
      <c r="G601" s="138"/>
      <c r="H601" s="139"/>
      <c r="L601" s="140"/>
      <c r="M601" s="140"/>
      <c r="N601" s="141"/>
      <c r="O601" s="142"/>
    </row>
    <row r="602" spans="1:15" ht="15.6" x14ac:dyDescent="0.3">
      <c r="B602" s="70"/>
      <c r="E602" s="138"/>
      <c r="F602" s="139"/>
      <c r="G602" s="138"/>
      <c r="H602" s="139"/>
      <c r="L602" s="140"/>
      <c r="M602" s="140"/>
      <c r="N602" s="141"/>
      <c r="O602" s="142"/>
    </row>
    <row r="603" spans="1:15" ht="31.8" thickBot="1" x14ac:dyDescent="0.3">
      <c r="A603" s="93"/>
      <c r="B603" s="143" t="s">
        <v>0</v>
      </c>
      <c r="C603" s="144" t="s">
        <v>1</v>
      </c>
      <c r="D603" s="143"/>
      <c r="E603" s="144" t="s">
        <v>198</v>
      </c>
      <c r="F603" s="145" t="s">
        <v>194</v>
      </c>
      <c r="G603" s="144" t="s">
        <v>196</v>
      </c>
      <c r="H603" s="145" t="s">
        <v>9</v>
      </c>
      <c r="I603" s="143" t="s">
        <v>2</v>
      </c>
      <c r="J603" s="144" t="s">
        <v>10</v>
      </c>
      <c r="K603" s="144" t="s">
        <v>13</v>
      </c>
      <c r="L603" s="144" t="s">
        <v>14</v>
      </c>
      <c r="M603" s="146" t="s">
        <v>15</v>
      </c>
      <c r="N603" s="147" t="s">
        <v>11</v>
      </c>
      <c r="O603" s="148" t="s">
        <v>12</v>
      </c>
    </row>
    <row r="604" spans="1:15" ht="15.6" thickBot="1" x14ac:dyDescent="0.3">
      <c r="A604" s="85">
        <v>1</v>
      </c>
      <c r="B604" s="405" t="s">
        <v>144</v>
      </c>
      <c r="C604" s="402" t="s">
        <v>145</v>
      </c>
      <c r="D604" s="87" t="s">
        <v>35</v>
      </c>
      <c r="E604" s="88">
        <v>780.9</v>
      </c>
      <c r="F604" s="171">
        <v>46163</v>
      </c>
      <c r="G604" s="88">
        <v>817.9</v>
      </c>
      <c r="H604" s="171">
        <v>46197</v>
      </c>
      <c r="I604" s="86">
        <f>G604-E604</f>
        <v>37</v>
      </c>
      <c r="J604" s="86"/>
      <c r="K604" s="86">
        <v>257</v>
      </c>
      <c r="L604" s="382">
        <v>587.29999999999995</v>
      </c>
      <c r="M604" s="90">
        <f t="shared" ref="M604:M610" si="152">I604*K604+J604</f>
        <v>9509</v>
      </c>
      <c r="N604" s="91">
        <v>0</v>
      </c>
      <c r="O604" s="92">
        <f t="shared" ref="O604:O605" si="153">M604-N604</f>
        <v>9509</v>
      </c>
    </row>
    <row r="605" spans="1:15" ht="15.6" thickBot="1" x14ac:dyDescent="0.3">
      <c r="A605" s="85"/>
      <c r="B605" s="406"/>
      <c r="C605" s="403"/>
      <c r="D605" s="94" t="s">
        <v>36</v>
      </c>
      <c r="E605" s="95">
        <v>310</v>
      </c>
      <c r="F605" s="171">
        <v>46163</v>
      </c>
      <c r="G605" s="95">
        <v>322</v>
      </c>
      <c r="H605" s="171">
        <v>46197</v>
      </c>
      <c r="I605" s="86">
        <f>G605-E605</f>
        <v>12</v>
      </c>
      <c r="J605" s="86">
        <v>1000</v>
      </c>
      <c r="K605" s="93">
        <v>1200</v>
      </c>
      <c r="L605" s="383"/>
      <c r="M605" s="90">
        <f t="shared" si="152"/>
        <v>15400</v>
      </c>
      <c r="N605" s="98"/>
      <c r="O605" s="92">
        <f t="shared" si="153"/>
        <v>15400</v>
      </c>
    </row>
    <row r="606" spans="1:15" ht="15.6" customHeight="1" thickBot="1" x14ac:dyDescent="0.3">
      <c r="A606" s="85"/>
      <c r="B606" s="406"/>
      <c r="C606" s="403"/>
      <c r="D606" s="117" t="s">
        <v>37</v>
      </c>
      <c r="E606" s="118"/>
      <c r="F606" s="119"/>
      <c r="G606" s="118"/>
      <c r="H606" s="119"/>
      <c r="I606" s="120">
        <v>1</v>
      </c>
      <c r="J606" s="120"/>
      <c r="K606" s="120">
        <v>25000</v>
      </c>
      <c r="L606" s="383"/>
      <c r="M606" s="90">
        <f>I606*K606+J606</f>
        <v>25000</v>
      </c>
      <c r="N606" s="99"/>
      <c r="O606" s="92">
        <f t="shared" ref="O606:O609" si="154">M606+L606-N606</f>
        <v>25000</v>
      </c>
    </row>
    <row r="607" spans="1:15" ht="15.6" customHeight="1" thickBot="1" x14ac:dyDescent="0.3">
      <c r="A607" s="85"/>
      <c r="B607" s="406"/>
      <c r="C607" s="403"/>
      <c r="D607" s="94" t="s">
        <v>90</v>
      </c>
      <c r="E607" s="95"/>
      <c r="F607" s="96"/>
      <c r="G607" s="95"/>
      <c r="H607" s="96"/>
      <c r="I607" s="93"/>
      <c r="J607" s="93"/>
      <c r="K607" s="93">
        <v>0</v>
      </c>
      <c r="L607" s="383"/>
      <c r="M607" s="90">
        <f t="shared" si="152"/>
        <v>0</v>
      </c>
      <c r="N607" s="98"/>
      <c r="O607" s="92">
        <f t="shared" si="154"/>
        <v>0</v>
      </c>
    </row>
    <row r="608" spans="1:15" ht="15.6" customHeight="1" thickBot="1" x14ac:dyDescent="0.3">
      <c r="A608" s="85"/>
      <c r="B608" s="406"/>
      <c r="C608" s="403"/>
      <c r="D608" s="94" t="s">
        <v>91</v>
      </c>
      <c r="E608" s="95"/>
      <c r="F608" s="96"/>
      <c r="G608" s="95"/>
      <c r="H608" s="96"/>
      <c r="I608" s="93">
        <v>1</v>
      </c>
      <c r="J608" s="93"/>
      <c r="K608" s="93">
        <v>2000</v>
      </c>
      <c r="L608" s="383"/>
      <c r="M608" s="90">
        <f t="shared" si="152"/>
        <v>2000</v>
      </c>
      <c r="N608" s="98"/>
      <c r="O608" s="92">
        <f t="shared" si="154"/>
        <v>2000</v>
      </c>
    </row>
    <row r="609" spans="1:15" ht="30.6" customHeight="1" thickBot="1" x14ac:dyDescent="0.3">
      <c r="A609" s="85"/>
      <c r="B609" s="406"/>
      <c r="C609" s="403"/>
      <c r="D609" s="94" t="s">
        <v>92</v>
      </c>
      <c r="E609" s="95"/>
      <c r="F609" s="96"/>
      <c r="G609" s="95"/>
      <c r="H609" s="96"/>
      <c r="I609" s="93">
        <v>0</v>
      </c>
      <c r="J609" s="93"/>
      <c r="K609" s="93">
        <v>0</v>
      </c>
      <c r="L609" s="383"/>
      <c r="M609" s="90">
        <f t="shared" si="152"/>
        <v>0</v>
      </c>
      <c r="N609" s="98"/>
      <c r="O609" s="92">
        <f t="shared" si="154"/>
        <v>0</v>
      </c>
    </row>
    <row r="610" spans="1:15" x14ac:dyDescent="0.25">
      <c r="A610" s="85"/>
      <c r="B610" s="406"/>
      <c r="C610" s="403"/>
      <c r="D610" s="94" t="s">
        <v>189</v>
      </c>
      <c r="E610" s="95"/>
      <c r="F610" s="96"/>
      <c r="G610" s="95"/>
      <c r="H610" s="96"/>
      <c r="I610" s="93"/>
      <c r="J610" s="93"/>
      <c r="K610" s="93"/>
      <c r="L610" s="384"/>
      <c r="M610" s="90">
        <f t="shared" si="152"/>
        <v>0</v>
      </c>
      <c r="N610" s="98"/>
      <c r="O610" s="92">
        <f>L604</f>
        <v>587.29999999999995</v>
      </c>
    </row>
    <row r="611" spans="1:15" ht="16.2" thickBot="1" x14ac:dyDescent="0.35">
      <c r="A611" s="153"/>
      <c r="B611" s="406"/>
      <c r="C611" s="403"/>
      <c r="D611" s="123" t="s">
        <v>38</v>
      </c>
      <c r="E611" s="124"/>
      <c r="F611" s="125"/>
      <c r="G611" s="124"/>
      <c r="H611" s="125"/>
      <c r="I611" s="126"/>
      <c r="J611" s="126"/>
      <c r="K611" s="126"/>
      <c r="L611" s="127"/>
      <c r="M611" s="127"/>
      <c r="N611" s="128"/>
      <c r="O611" s="107">
        <f>SUM(O604:O610)</f>
        <v>52496.3</v>
      </c>
    </row>
    <row r="612" spans="1:15" ht="111.75" customHeight="1" x14ac:dyDescent="0.3">
      <c r="A612" s="153"/>
      <c r="B612" s="149"/>
      <c r="C612" s="110"/>
      <c r="D612" s="112"/>
      <c r="E612" s="138"/>
      <c r="F612" s="139"/>
      <c r="G612" s="138"/>
      <c r="H612" s="139"/>
      <c r="L612" s="140"/>
      <c r="M612" s="140"/>
      <c r="N612" s="141"/>
      <c r="O612" s="142"/>
    </row>
    <row r="613" spans="1:15" ht="31.8" thickBot="1" x14ac:dyDescent="0.3">
      <c r="A613" s="93"/>
      <c r="B613" s="143" t="s">
        <v>0</v>
      </c>
      <c r="C613" s="144" t="s">
        <v>1</v>
      </c>
      <c r="D613" s="143"/>
      <c r="E613" s="144" t="s">
        <v>198</v>
      </c>
      <c r="F613" s="145" t="s">
        <v>194</v>
      </c>
      <c r="G613" s="144" t="s">
        <v>196</v>
      </c>
      <c r="H613" s="145" t="s">
        <v>9</v>
      </c>
      <c r="I613" s="143" t="s">
        <v>2</v>
      </c>
      <c r="J613" s="144" t="s">
        <v>10</v>
      </c>
      <c r="K613" s="144" t="s">
        <v>13</v>
      </c>
      <c r="L613" s="144" t="s">
        <v>14</v>
      </c>
      <c r="M613" s="146" t="s">
        <v>15</v>
      </c>
      <c r="N613" s="147" t="s">
        <v>11</v>
      </c>
      <c r="O613" s="148" t="s">
        <v>12</v>
      </c>
    </row>
    <row r="614" spans="1:15" ht="15.6" thickBot="1" x14ac:dyDescent="0.3">
      <c r="A614" s="85">
        <v>1</v>
      </c>
      <c r="B614" s="398" t="s">
        <v>146</v>
      </c>
      <c r="C614" s="400">
        <v>1006</v>
      </c>
      <c r="D614" s="87" t="s">
        <v>35</v>
      </c>
      <c r="E614" s="88">
        <v>2224.5</v>
      </c>
      <c r="F614" s="171">
        <v>46163</v>
      </c>
      <c r="G614" s="88">
        <v>2491.9</v>
      </c>
      <c r="H614" s="171">
        <v>46197</v>
      </c>
      <c r="I614" s="343">
        <f>G614-E614</f>
        <v>267.40000000000009</v>
      </c>
      <c r="J614" s="86"/>
      <c r="K614" s="86">
        <v>257</v>
      </c>
      <c r="L614" s="382">
        <v>19957.5</v>
      </c>
      <c r="M614" s="90">
        <f t="shared" ref="M614:M620" si="155">I614*K614+J614</f>
        <v>68721.800000000017</v>
      </c>
      <c r="N614" s="91">
        <v>0</v>
      </c>
      <c r="O614" s="92">
        <f t="shared" ref="O614:O615" si="156">M614-N614</f>
        <v>68721.800000000017</v>
      </c>
    </row>
    <row r="615" spans="1:15" ht="15.6" thickBot="1" x14ac:dyDescent="0.3">
      <c r="A615" s="85"/>
      <c r="B615" s="399"/>
      <c r="C615" s="401"/>
      <c r="D615" s="94" t="s">
        <v>36</v>
      </c>
      <c r="E615" s="95">
        <v>118</v>
      </c>
      <c r="F615" s="171">
        <v>46163</v>
      </c>
      <c r="G615" s="95">
        <v>131</v>
      </c>
      <c r="H615" s="171">
        <v>46197</v>
      </c>
      <c r="I615" s="86">
        <f>G615-E615</f>
        <v>13</v>
      </c>
      <c r="J615" s="86">
        <v>1000</v>
      </c>
      <c r="K615" s="93">
        <v>1200</v>
      </c>
      <c r="L615" s="383"/>
      <c r="M615" s="90">
        <f t="shared" si="155"/>
        <v>16600</v>
      </c>
      <c r="N615" s="98"/>
      <c r="O615" s="92">
        <f t="shared" si="156"/>
        <v>16600</v>
      </c>
    </row>
    <row r="616" spans="1:15" ht="15.6" thickBot="1" x14ac:dyDescent="0.3">
      <c r="A616" s="85"/>
      <c r="B616" s="399"/>
      <c r="C616" s="401"/>
      <c r="D616" s="120" t="s">
        <v>37</v>
      </c>
      <c r="E616" s="118"/>
      <c r="F616" s="119"/>
      <c r="G616" s="118"/>
      <c r="H616" s="119"/>
      <c r="I616" s="120">
        <v>1</v>
      </c>
      <c r="J616" s="120"/>
      <c r="K616" s="120">
        <v>25000</v>
      </c>
      <c r="L616" s="383"/>
      <c r="M616" s="90">
        <f>I616*K616+J616</f>
        <v>25000</v>
      </c>
      <c r="N616" s="99"/>
      <c r="O616" s="92">
        <f t="shared" ref="O616:O618" si="157">M616+L616-N616</f>
        <v>25000</v>
      </c>
    </row>
    <row r="617" spans="1:15" ht="15.6" thickBot="1" x14ac:dyDescent="0.3">
      <c r="A617" s="85"/>
      <c r="B617" s="399"/>
      <c r="C617" s="401"/>
      <c r="D617" s="94" t="s">
        <v>90</v>
      </c>
      <c r="E617" s="95"/>
      <c r="F617" s="96"/>
      <c r="G617" s="95"/>
      <c r="H617" s="96"/>
      <c r="I617" s="93"/>
      <c r="J617" s="93"/>
      <c r="K617" s="93">
        <v>0</v>
      </c>
      <c r="L617" s="383"/>
      <c r="M617" s="90">
        <f t="shared" si="155"/>
        <v>0</v>
      </c>
      <c r="N617" s="98"/>
      <c r="O617" s="92">
        <f t="shared" si="157"/>
        <v>0</v>
      </c>
    </row>
    <row r="618" spans="1:15" ht="15.6" thickBot="1" x14ac:dyDescent="0.3">
      <c r="A618" s="85"/>
      <c r="B618" s="399"/>
      <c r="C618" s="401"/>
      <c r="D618" s="94" t="s">
        <v>91</v>
      </c>
      <c r="E618" s="95"/>
      <c r="F618" s="96"/>
      <c r="G618" s="95"/>
      <c r="H618" s="96"/>
      <c r="I618" s="93">
        <v>1</v>
      </c>
      <c r="J618" s="93"/>
      <c r="K618" s="93">
        <v>2000</v>
      </c>
      <c r="L618" s="383"/>
      <c r="M618" s="90">
        <f t="shared" si="155"/>
        <v>2000</v>
      </c>
      <c r="N618" s="98"/>
      <c r="O618" s="92">
        <f t="shared" si="157"/>
        <v>2000</v>
      </c>
    </row>
    <row r="619" spans="1:15" ht="30.6" thickBot="1" x14ac:dyDescent="0.3">
      <c r="A619" s="85"/>
      <c r="B619" s="399"/>
      <c r="C619" s="401"/>
      <c r="D619" s="94" t="s">
        <v>92</v>
      </c>
      <c r="E619" s="95"/>
      <c r="F619" s="96"/>
      <c r="G619" s="95"/>
      <c r="H619" s="96"/>
      <c r="I619" s="93">
        <v>0</v>
      </c>
      <c r="J619" s="93"/>
      <c r="K619" s="93">
        <v>0</v>
      </c>
      <c r="L619" s="383"/>
      <c r="M619" s="90">
        <f t="shared" si="155"/>
        <v>0</v>
      </c>
      <c r="N619" s="98"/>
      <c r="O619" s="92"/>
    </row>
    <row r="620" spans="1:15" x14ac:dyDescent="0.25">
      <c r="A620" s="85"/>
      <c r="B620" s="399"/>
      <c r="C620" s="401"/>
      <c r="D620" s="94" t="s">
        <v>189</v>
      </c>
      <c r="E620" s="95"/>
      <c r="F620" s="96"/>
      <c r="G620" s="95"/>
      <c r="H620" s="96"/>
      <c r="I620" s="93"/>
      <c r="J620" s="93"/>
      <c r="K620" s="93"/>
      <c r="L620" s="384"/>
      <c r="M620" s="90">
        <f t="shared" si="155"/>
        <v>0</v>
      </c>
      <c r="N620" s="98"/>
      <c r="O620" s="92">
        <f>L614</f>
        <v>19957.5</v>
      </c>
    </row>
    <row r="621" spans="1:15" ht="16.2" thickBot="1" x14ac:dyDescent="0.35">
      <c r="B621" s="399"/>
      <c r="C621" s="401"/>
      <c r="D621" s="123" t="s">
        <v>38</v>
      </c>
      <c r="E621" s="124"/>
      <c r="F621" s="125"/>
      <c r="G621" s="124"/>
      <c r="H621" s="125"/>
      <c r="I621" s="126"/>
      <c r="J621" s="126"/>
      <c r="K621" s="126"/>
      <c r="L621" s="127"/>
      <c r="M621" s="127"/>
      <c r="N621" s="128"/>
      <c r="O621" s="107">
        <f>SUM(O614:O620)</f>
        <v>132279.30000000002</v>
      </c>
    </row>
    <row r="623" spans="1:15" ht="31.8" thickBot="1" x14ac:dyDescent="0.3">
      <c r="A623" s="93"/>
      <c r="B623" s="143" t="s">
        <v>0</v>
      </c>
      <c r="C623" s="144" t="s">
        <v>1</v>
      </c>
      <c r="D623" s="143"/>
      <c r="E623" s="144" t="s">
        <v>198</v>
      </c>
      <c r="F623" s="145" t="s">
        <v>194</v>
      </c>
      <c r="G623" s="144" t="s">
        <v>196</v>
      </c>
      <c r="H623" s="145" t="s">
        <v>9</v>
      </c>
      <c r="I623" s="143" t="s">
        <v>2</v>
      </c>
      <c r="J623" s="144" t="s">
        <v>10</v>
      </c>
      <c r="K623" s="144" t="s">
        <v>13</v>
      </c>
      <c r="L623" s="144" t="s">
        <v>14</v>
      </c>
      <c r="M623" s="146" t="s">
        <v>15</v>
      </c>
      <c r="N623" s="147" t="s">
        <v>11</v>
      </c>
      <c r="O623" s="148" t="s">
        <v>12</v>
      </c>
    </row>
    <row r="624" spans="1:15" ht="15.6" thickBot="1" x14ac:dyDescent="0.3">
      <c r="A624" s="85">
        <v>1</v>
      </c>
      <c r="B624" s="405" t="s">
        <v>147</v>
      </c>
      <c r="C624" s="392">
        <v>1101</v>
      </c>
      <c r="D624" s="87" t="s">
        <v>35</v>
      </c>
      <c r="E624" s="88">
        <v>842.6</v>
      </c>
      <c r="F624" s="171">
        <v>46163</v>
      </c>
      <c r="G624" s="88">
        <v>918.8</v>
      </c>
      <c r="H624" s="171">
        <v>46197</v>
      </c>
      <c r="I624" s="86">
        <f>G624-E624</f>
        <v>76.199999999999932</v>
      </c>
      <c r="J624" s="86"/>
      <c r="K624" s="86">
        <v>257</v>
      </c>
      <c r="L624" s="382">
        <v>-10.7</v>
      </c>
      <c r="M624" s="90">
        <f t="shared" ref="M624:M630" si="158">I624*K624+J624</f>
        <v>19583.399999999983</v>
      </c>
      <c r="N624" s="91">
        <v>0</v>
      </c>
      <c r="O624" s="92">
        <f t="shared" ref="O624:O625" si="159">M624-N624</f>
        <v>19583.399999999983</v>
      </c>
    </row>
    <row r="625" spans="1:15" ht="15.6" thickBot="1" x14ac:dyDescent="0.3">
      <c r="A625" s="310"/>
      <c r="B625" s="406"/>
      <c r="C625" s="393"/>
      <c r="D625" s="94" t="s">
        <v>36</v>
      </c>
      <c r="E625" s="269">
        <v>5</v>
      </c>
      <c r="F625" s="171">
        <v>46163</v>
      </c>
      <c r="G625" s="269">
        <v>12</v>
      </c>
      <c r="H625" s="171">
        <v>46197</v>
      </c>
      <c r="I625" s="86">
        <f>G625-E625</f>
        <v>7</v>
      </c>
      <c r="J625" s="86">
        <v>1000</v>
      </c>
      <c r="K625" s="93">
        <v>1200</v>
      </c>
      <c r="L625" s="383"/>
      <c r="M625" s="312">
        <f t="shared" si="158"/>
        <v>9400</v>
      </c>
      <c r="N625" s="323"/>
      <c r="O625" s="314">
        <f t="shared" si="159"/>
        <v>9400</v>
      </c>
    </row>
    <row r="626" spans="1:15" ht="15.6" thickBot="1" x14ac:dyDescent="0.3">
      <c r="A626" s="85"/>
      <c r="B626" s="406"/>
      <c r="C626" s="393"/>
      <c r="D626" s="117" t="s">
        <v>37</v>
      </c>
      <c r="E626" s="118"/>
      <c r="F626" s="119"/>
      <c r="G626" s="118"/>
      <c r="H626" s="119"/>
      <c r="I626" s="120">
        <v>1</v>
      </c>
      <c r="J626" s="120"/>
      <c r="K626" s="120">
        <v>25000</v>
      </c>
      <c r="L626" s="383"/>
      <c r="M626" s="90">
        <f t="shared" si="158"/>
        <v>25000</v>
      </c>
      <c r="N626" s="99"/>
      <c r="O626" s="92">
        <f t="shared" ref="O626:O629" si="160">M626+L626-N626</f>
        <v>25000</v>
      </c>
    </row>
    <row r="627" spans="1:15" ht="15.6" thickBot="1" x14ac:dyDescent="0.3">
      <c r="A627" s="85"/>
      <c r="B627" s="406"/>
      <c r="C627" s="393"/>
      <c r="D627" s="321" t="s">
        <v>90</v>
      </c>
      <c r="E627" s="156">
        <v>0</v>
      </c>
      <c r="F627" s="274"/>
      <c r="G627" s="156">
        <v>0</v>
      </c>
      <c r="H627" s="274"/>
      <c r="I627" s="322">
        <f>G627-E627</f>
        <v>0</v>
      </c>
      <c r="J627" s="275"/>
      <c r="K627" s="275">
        <v>0</v>
      </c>
      <c r="L627" s="383"/>
      <c r="M627" s="267">
        <f t="shared" si="158"/>
        <v>0</v>
      </c>
      <c r="N627" s="272"/>
      <c r="O627" s="273">
        <f t="shared" si="160"/>
        <v>0</v>
      </c>
    </row>
    <row r="628" spans="1:15" ht="15.6" thickBot="1" x14ac:dyDescent="0.3">
      <c r="A628" s="85"/>
      <c r="B628" s="406"/>
      <c r="C628" s="393"/>
      <c r="D628" s="94" t="s">
        <v>91</v>
      </c>
      <c r="E628" s="95"/>
      <c r="F628" s="96"/>
      <c r="G628" s="95"/>
      <c r="H628" s="96"/>
      <c r="I628" s="93">
        <v>1</v>
      </c>
      <c r="J628" s="93"/>
      <c r="K628" s="93">
        <v>2000</v>
      </c>
      <c r="L628" s="383"/>
      <c r="M628" s="90">
        <f t="shared" si="158"/>
        <v>2000</v>
      </c>
      <c r="N628" s="98"/>
      <c r="O628" s="92">
        <f t="shared" si="160"/>
        <v>2000</v>
      </c>
    </row>
    <row r="629" spans="1:15" ht="30.6" thickBot="1" x14ac:dyDescent="0.3">
      <c r="A629" s="85"/>
      <c r="B629" s="406"/>
      <c r="C629" s="393"/>
      <c r="D629" s="94" t="s">
        <v>92</v>
      </c>
      <c r="E629" s="95"/>
      <c r="F629" s="96"/>
      <c r="G629" s="95"/>
      <c r="H629" s="96"/>
      <c r="I629" s="93"/>
      <c r="J629" s="93"/>
      <c r="K629" s="93">
        <v>0</v>
      </c>
      <c r="L629" s="383"/>
      <c r="M629" s="90">
        <f t="shared" si="158"/>
        <v>0</v>
      </c>
      <c r="N629" s="98"/>
      <c r="O629" s="92">
        <f t="shared" si="160"/>
        <v>0</v>
      </c>
    </row>
    <row r="630" spans="1:15" x14ac:dyDescent="0.25">
      <c r="A630" s="85"/>
      <c r="B630" s="406"/>
      <c r="C630" s="393"/>
      <c r="D630" s="94" t="s">
        <v>189</v>
      </c>
      <c r="E630" s="95"/>
      <c r="F630" s="96"/>
      <c r="G630" s="95"/>
      <c r="H630" s="96"/>
      <c r="I630" s="93"/>
      <c r="J630" s="93"/>
      <c r="K630" s="93"/>
      <c r="L630" s="384"/>
      <c r="M630" s="90">
        <f t="shared" si="158"/>
        <v>0</v>
      </c>
      <c r="N630" s="98"/>
      <c r="O630" s="92">
        <f>L624</f>
        <v>-10.7</v>
      </c>
    </row>
    <row r="631" spans="1:15" ht="16.2" thickBot="1" x14ac:dyDescent="0.35">
      <c r="A631" s="153"/>
      <c r="B631" s="406"/>
      <c r="C631" s="393"/>
      <c r="D631" s="123" t="s">
        <v>38</v>
      </c>
      <c r="E631" s="124"/>
      <c r="F631" s="125"/>
      <c r="G631" s="124"/>
      <c r="H631" s="125"/>
      <c r="I631" s="126"/>
      <c r="J631" s="126"/>
      <c r="K631" s="126"/>
      <c r="L631" s="127"/>
      <c r="M631" s="127"/>
      <c r="N631" s="128"/>
      <c r="O631" s="107">
        <f>SUM(O624:O630)</f>
        <v>55972.699999999983</v>
      </c>
    </row>
    <row r="632" spans="1:15" ht="15.6" x14ac:dyDescent="0.3">
      <c r="A632" s="153"/>
      <c r="B632" s="149"/>
      <c r="C632" s="110"/>
      <c r="D632" s="112"/>
      <c r="E632" s="138"/>
      <c r="F632" s="139"/>
      <c r="G632" s="138"/>
      <c r="H632" s="139"/>
      <c r="L632" s="140"/>
      <c r="M632" s="140"/>
      <c r="N632" s="141"/>
      <c r="O632" s="142"/>
    </row>
    <row r="633" spans="1:15" ht="15.6" x14ac:dyDescent="0.3">
      <c r="A633" s="153"/>
      <c r="B633" s="149"/>
      <c r="C633" s="110"/>
      <c r="D633" s="112"/>
      <c r="E633" s="138"/>
      <c r="F633" s="139"/>
      <c r="G633" s="138"/>
      <c r="H633" s="139"/>
      <c r="L633" s="140"/>
      <c r="M633" s="140"/>
      <c r="N633" s="141"/>
      <c r="O633" s="142"/>
    </row>
    <row r="634" spans="1:15" ht="31.8" thickBot="1" x14ac:dyDescent="0.3">
      <c r="A634" s="93"/>
      <c r="B634" s="143" t="s">
        <v>0</v>
      </c>
      <c r="C634" s="144" t="s">
        <v>1</v>
      </c>
      <c r="D634" s="143"/>
      <c r="E634" s="144" t="s">
        <v>198</v>
      </c>
      <c r="F634" s="145" t="s">
        <v>194</v>
      </c>
      <c r="G634" s="144" t="s">
        <v>196</v>
      </c>
      <c r="H634" s="145" t="s">
        <v>9</v>
      </c>
      <c r="I634" s="143" t="s">
        <v>2</v>
      </c>
      <c r="J634" s="144" t="s">
        <v>10</v>
      </c>
      <c r="K634" s="144" t="s">
        <v>13</v>
      </c>
      <c r="L634" s="144" t="s">
        <v>14</v>
      </c>
      <c r="M634" s="146" t="s">
        <v>15</v>
      </c>
      <c r="N634" s="147" t="s">
        <v>11</v>
      </c>
      <c r="O634" s="148" t="s">
        <v>12</v>
      </c>
    </row>
    <row r="635" spans="1:15" ht="15.6" thickBot="1" x14ac:dyDescent="0.3">
      <c r="A635" s="85">
        <v>1</v>
      </c>
      <c r="B635" s="405" t="s">
        <v>101</v>
      </c>
      <c r="C635" s="392">
        <v>1103</v>
      </c>
      <c r="D635" s="87" t="s">
        <v>35</v>
      </c>
      <c r="E635" s="88">
        <v>383.8</v>
      </c>
      <c r="F635" s="171">
        <v>46163</v>
      </c>
      <c r="G635" s="88">
        <v>424.1</v>
      </c>
      <c r="H635" s="171">
        <v>46197</v>
      </c>
      <c r="I635" s="86">
        <f>G635-E635</f>
        <v>40.300000000000011</v>
      </c>
      <c r="J635" s="86"/>
      <c r="K635" s="86">
        <v>257</v>
      </c>
      <c r="L635" s="382">
        <v>-33.4</v>
      </c>
      <c r="M635" s="90">
        <f t="shared" ref="M635:M641" si="161">I635*K635+J635</f>
        <v>10357.100000000002</v>
      </c>
      <c r="N635" s="91">
        <v>0</v>
      </c>
      <c r="O635" s="92">
        <f t="shared" ref="O635:O636" si="162">M635-N635</f>
        <v>10357.100000000002</v>
      </c>
    </row>
    <row r="636" spans="1:15" ht="15.6" thickBot="1" x14ac:dyDescent="0.3">
      <c r="A636" s="85"/>
      <c r="B636" s="406"/>
      <c r="C636" s="393"/>
      <c r="D636" s="94" t="s">
        <v>36</v>
      </c>
      <c r="E636" s="95">
        <v>95</v>
      </c>
      <c r="F636" s="171">
        <v>46163</v>
      </c>
      <c r="G636" s="95">
        <v>138</v>
      </c>
      <c r="H636" s="171">
        <v>46197</v>
      </c>
      <c r="I636" s="86">
        <f>G636-E636</f>
        <v>43</v>
      </c>
      <c r="J636" s="86">
        <v>1000</v>
      </c>
      <c r="K636" s="93">
        <v>1200</v>
      </c>
      <c r="L636" s="383"/>
      <c r="M636" s="90">
        <f t="shared" si="161"/>
        <v>52600</v>
      </c>
      <c r="N636" s="98"/>
      <c r="O636" s="92">
        <f t="shared" si="162"/>
        <v>52600</v>
      </c>
    </row>
    <row r="637" spans="1:15" ht="15.6" thickBot="1" x14ac:dyDescent="0.3">
      <c r="A637" s="85"/>
      <c r="B637" s="406"/>
      <c r="C637" s="393"/>
      <c r="D637" s="117" t="s">
        <v>37</v>
      </c>
      <c r="E637" s="118"/>
      <c r="F637" s="119"/>
      <c r="G637" s="118"/>
      <c r="H637" s="119"/>
      <c r="I637" s="120">
        <v>1</v>
      </c>
      <c r="J637" s="120"/>
      <c r="K637" s="120">
        <v>25000</v>
      </c>
      <c r="L637" s="383"/>
      <c r="M637" s="90">
        <f t="shared" si="161"/>
        <v>25000</v>
      </c>
      <c r="N637" s="99"/>
      <c r="O637" s="92">
        <f t="shared" ref="O637:O640" si="163">M637+L637-N637</f>
        <v>25000</v>
      </c>
    </row>
    <row r="638" spans="1:15" ht="15.6" thickBot="1" x14ac:dyDescent="0.3">
      <c r="A638" s="85"/>
      <c r="B638" s="406"/>
      <c r="C638" s="393"/>
      <c r="D638" s="94" t="s">
        <v>90</v>
      </c>
      <c r="E638" s="95"/>
      <c r="F638" s="96"/>
      <c r="G638" s="95"/>
      <c r="H638" s="96"/>
      <c r="I638" s="93"/>
      <c r="J638" s="93"/>
      <c r="K638" s="93">
        <v>0</v>
      </c>
      <c r="L638" s="383"/>
      <c r="M638" s="90">
        <f t="shared" si="161"/>
        <v>0</v>
      </c>
      <c r="N638" s="98"/>
      <c r="O638" s="92">
        <f t="shared" si="163"/>
        <v>0</v>
      </c>
    </row>
    <row r="639" spans="1:15" ht="15.6" thickBot="1" x14ac:dyDescent="0.3">
      <c r="A639" s="85"/>
      <c r="B639" s="406"/>
      <c r="C639" s="393"/>
      <c r="D639" s="94" t="s">
        <v>91</v>
      </c>
      <c r="E639" s="95"/>
      <c r="F639" s="96"/>
      <c r="G639" s="95"/>
      <c r="H639" s="96"/>
      <c r="I639" s="93">
        <v>1</v>
      </c>
      <c r="J639" s="93"/>
      <c r="K639" s="93">
        <v>2000</v>
      </c>
      <c r="L639" s="383"/>
      <c r="M639" s="90">
        <f t="shared" si="161"/>
        <v>2000</v>
      </c>
      <c r="N639" s="98"/>
      <c r="O639" s="92">
        <f t="shared" si="163"/>
        <v>2000</v>
      </c>
    </row>
    <row r="640" spans="1:15" ht="30.6" thickBot="1" x14ac:dyDescent="0.3">
      <c r="A640" s="85"/>
      <c r="B640" s="406"/>
      <c r="C640" s="393"/>
      <c r="D640" s="94" t="s">
        <v>92</v>
      </c>
      <c r="E640" s="95"/>
      <c r="F640" s="96"/>
      <c r="G640" s="95"/>
      <c r="H640" s="96"/>
      <c r="I640" s="93">
        <v>0</v>
      </c>
      <c r="J640" s="93"/>
      <c r="K640" s="93">
        <v>0</v>
      </c>
      <c r="L640" s="383"/>
      <c r="M640" s="90">
        <f t="shared" si="161"/>
        <v>0</v>
      </c>
      <c r="N640" s="98"/>
      <c r="O640" s="92">
        <f t="shared" si="163"/>
        <v>0</v>
      </c>
    </row>
    <row r="641" spans="1:15" x14ac:dyDescent="0.25">
      <c r="A641" s="85"/>
      <c r="B641" s="406"/>
      <c r="C641" s="393"/>
      <c r="D641" s="94" t="s">
        <v>189</v>
      </c>
      <c r="E641" s="95"/>
      <c r="F641" s="96"/>
      <c r="G641" s="95"/>
      <c r="H641" s="96"/>
      <c r="I641" s="93"/>
      <c r="J641" s="93"/>
      <c r="K641" s="93"/>
      <c r="L641" s="384"/>
      <c r="M641" s="90">
        <f t="shared" si="161"/>
        <v>0</v>
      </c>
      <c r="N641" s="98"/>
      <c r="O641" s="92">
        <f>L635</f>
        <v>-33.4</v>
      </c>
    </row>
    <row r="642" spans="1:15" ht="16.2" thickBot="1" x14ac:dyDescent="0.35">
      <c r="A642" s="93"/>
      <c r="B642" s="407"/>
      <c r="C642" s="394"/>
      <c r="D642" s="123" t="s">
        <v>38</v>
      </c>
      <c r="E642" s="124"/>
      <c r="F642" s="125"/>
      <c r="G642" s="124"/>
      <c r="H642" s="125"/>
      <c r="I642" s="126"/>
      <c r="J642" s="126"/>
      <c r="K642" s="126"/>
      <c r="L642" s="127"/>
      <c r="M642" s="127"/>
      <c r="N642" s="128"/>
      <c r="O642" s="107">
        <f>SUM(O635:O641)</f>
        <v>89923.700000000012</v>
      </c>
    </row>
    <row r="644" spans="1:15" ht="31.8" thickBot="1" x14ac:dyDescent="0.3">
      <c r="A644" s="93"/>
      <c r="B644" s="143" t="s">
        <v>0</v>
      </c>
      <c r="C644" s="144" t="s">
        <v>1</v>
      </c>
      <c r="D644" s="143"/>
      <c r="E644" s="144" t="s">
        <v>198</v>
      </c>
      <c r="F644" s="145" t="s">
        <v>194</v>
      </c>
      <c r="G644" s="144" t="s">
        <v>196</v>
      </c>
      <c r="H644" s="145" t="s">
        <v>9</v>
      </c>
      <c r="I644" s="143" t="s">
        <v>2</v>
      </c>
      <c r="J644" s="144" t="s">
        <v>10</v>
      </c>
      <c r="K644" s="144" t="s">
        <v>13</v>
      </c>
      <c r="L644" s="144" t="s">
        <v>14</v>
      </c>
      <c r="M644" s="146" t="s">
        <v>15</v>
      </c>
      <c r="N644" s="147" t="s">
        <v>11</v>
      </c>
      <c r="O644" s="148" t="s">
        <v>12</v>
      </c>
    </row>
    <row r="645" spans="1:15" ht="15.6" thickBot="1" x14ac:dyDescent="0.3">
      <c r="A645" s="85">
        <v>1</v>
      </c>
      <c r="B645" s="405" t="s">
        <v>101</v>
      </c>
      <c r="C645" s="392">
        <v>1104</v>
      </c>
      <c r="D645" s="87" t="s">
        <v>35</v>
      </c>
      <c r="E645" s="88">
        <v>1109.7</v>
      </c>
      <c r="F645" s="171">
        <v>46163</v>
      </c>
      <c r="G645" s="88">
        <v>1174.7</v>
      </c>
      <c r="H645" s="171">
        <v>46197</v>
      </c>
      <c r="I645" s="86">
        <f>G645-E645</f>
        <v>65</v>
      </c>
      <c r="J645" s="86"/>
      <c r="K645" s="86">
        <v>257</v>
      </c>
      <c r="L645" s="382">
        <v>-6.8</v>
      </c>
      <c r="M645" s="90">
        <f t="shared" ref="M645:M651" si="164">I645*K645+J645</f>
        <v>16705</v>
      </c>
      <c r="N645" s="91">
        <v>0</v>
      </c>
      <c r="O645" s="92">
        <f t="shared" ref="O645:O646" si="165">M645-N645</f>
        <v>16705</v>
      </c>
    </row>
    <row r="646" spans="1:15" ht="15.6" thickBot="1" x14ac:dyDescent="0.3">
      <c r="A646" s="310"/>
      <c r="B646" s="406"/>
      <c r="C646" s="393"/>
      <c r="D646" s="94" t="s">
        <v>36</v>
      </c>
      <c r="E646" s="269">
        <v>49</v>
      </c>
      <c r="F646" s="171">
        <v>46163</v>
      </c>
      <c r="G646" s="269">
        <v>68</v>
      </c>
      <c r="H646" s="171">
        <v>46197</v>
      </c>
      <c r="I646" s="86">
        <f>G646-E646</f>
        <v>19</v>
      </c>
      <c r="J646" s="86">
        <v>1000</v>
      </c>
      <c r="K646" s="93">
        <v>1200</v>
      </c>
      <c r="L646" s="383"/>
      <c r="M646" s="312">
        <f t="shared" si="164"/>
        <v>23800</v>
      </c>
      <c r="N646" s="323"/>
      <c r="O646" s="314">
        <f t="shared" si="165"/>
        <v>23800</v>
      </c>
    </row>
    <row r="647" spans="1:15" ht="15.6" thickBot="1" x14ac:dyDescent="0.3">
      <c r="A647" s="85"/>
      <c r="B647" s="406"/>
      <c r="C647" s="393"/>
      <c r="D647" s="117" t="s">
        <v>37</v>
      </c>
      <c r="E647" s="118"/>
      <c r="F647" s="119"/>
      <c r="G647" s="118"/>
      <c r="H647" s="119"/>
      <c r="I647" s="120">
        <v>1</v>
      </c>
      <c r="J647" s="120"/>
      <c r="K647" s="120">
        <v>25000</v>
      </c>
      <c r="L647" s="383"/>
      <c r="M647" s="90">
        <f t="shared" si="164"/>
        <v>25000</v>
      </c>
      <c r="N647" s="99"/>
      <c r="O647" s="92">
        <f t="shared" ref="O647:O650" si="166">M647+L647-N647</f>
        <v>25000</v>
      </c>
    </row>
    <row r="648" spans="1:15" ht="15.6" thickBot="1" x14ac:dyDescent="0.3">
      <c r="A648" s="85"/>
      <c r="B648" s="406"/>
      <c r="C648" s="393"/>
      <c r="D648" s="321" t="s">
        <v>90</v>
      </c>
      <c r="E648" s="156">
        <v>0</v>
      </c>
      <c r="F648" s="274"/>
      <c r="G648" s="156">
        <v>0</v>
      </c>
      <c r="H648" s="274"/>
      <c r="I648" s="322">
        <f>G648-E648</f>
        <v>0</v>
      </c>
      <c r="J648" s="275"/>
      <c r="K648" s="275">
        <v>0</v>
      </c>
      <c r="L648" s="383"/>
      <c r="M648" s="267">
        <f t="shared" si="164"/>
        <v>0</v>
      </c>
      <c r="N648" s="272"/>
      <c r="O648" s="273">
        <f t="shared" si="166"/>
        <v>0</v>
      </c>
    </row>
    <row r="649" spans="1:15" ht="15.6" thickBot="1" x14ac:dyDescent="0.3">
      <c r="A649" s="85"/>
      <c r="B649" s="406"/>
      <c r="C649" s="393"/>
      <c r="D649" s="94" t="s">
        <v>91</v>
      </c>
      <c r="E649" s="95"/>
      <c r="F649" s="96"/>
      <c r="G649" s="95"/>
      <c r="H649" s="96"/>
      <c r="I649" s="93">
        <v>1</v>
      </c>
      <c r="J649" s="93"/>
      <c r="K649" s="93">
        <v>2000</v>
      </c>
      <c r="L649" s="383"/>
      <c r="M649" s="90">
        <f t="shared" si="164"/>
        <v>2000</v>
      </c>
      <c r="N649" s="98"/>
      <c r="O649" s="92">
        <f t="shared" si="166"/>
        <v>2000</v>
      </c>
    </row>
    <row r="650" spans="1:15" ht="30.6" thickBot="1" x14ac:dyDescent="0.3">
      <c r="A650" s="85"/>
      <c r="B650" s="406"/>
      <c r="C650" s="393"/>
      <c r="D650" s="94" t="s">
        <v>92</v>
      </c>
      <c r="E650" s="95"/>
      <c r="F650" s="96"/>
      <c r="G650" s="95"/>
      <c r="H650" s="96"/>
      <c r="I650" s="93">
        <v>0</v>
      </c>
      <c r="J650" s="93"/>
      <c r="K650" s="93">
        <v>0</v>
      </c>
      <c r="L650" s="383"/>
      <c r="M650" s="90">
        <f t="shared" si="164"/>
        <v>0</v>
      </c>
      <c r="N650" s="98"/>
      <c r="O650" s="92">
        <f t="shared" si="166"/>
        <v>0</v>
      </c>
    </row>
    <row r="651" spans="1:15" x14ac:dyDescent="0.25">
      <c r="A651" s="85"/>
      <c r="B651" s="406"/>
      <c r="C651" s="393"/>
      <c r="D651" s="94" t="s">
        <v>189</v>
      </c>
      <c r="E651" s="95"/>
      <c r="F651" s="96"/>
      <c r="G651" s="95"/>
      <c r="H651" s="96"/>
      <c r="I651" s="93"/>
      <c r="J651" s="93"/>
      <c r="K651" s="93"/>
      <c r="L651" s="384"/>
      <c r="M651" s="90">
        <f t="shared" si="164"/>
        <v>0</v>
      </c>
      <c r="N651" s="98"/>
      <c r="O651" s="92">
        <f>L645</f>
        <v>-6.8</v>
      </c>
    </row>
    <row r="652" spans="1:15" ht="16.2" thickBot="1" x14ac:dyDescent="0.35">
      <c r="A652" s="153"/>
      <c r="B652" s="406"/>
      <c r="C652" s="393"/>
      <c r="D652" s="123" t="s">
        <v>38</v>
      </c>
      <c r="E652" s="124"/>
      <c r="F652" s="125"/>
      <c r="G652" s="124"/>
      <c r="H652" s="125"/>
      <c r="I652" s="126"/>
      <c r="J652" s="126"/>
      <c r="K652" s="126"/>
      <c r="L652" s="127"/>
      <c r="M652" s="127"/>
      <c r="N652" s="128"/>
      <c r="O652" s="107">
        <f>SUM(O645:O651)</f>
        <v>67498.2</v>
      </c>
    </row>
    <row r="653" spans="1:15" ht="31.8" thickBot="1" x14ac:dyDescent="0.3">
      <c r="A653" s="93"/>
      <c r="B653" s="154" t="s">
        <v>0</v>
      </c>
      <c r="C653" s="155" t="s">
        <v>1</v>
      </c>
      <c r="D653" s="143"/>
      <c r="E653" s="144" t="s">
        <v>198</v>
      </c>
      <c r="F653" s="145" t="s">
        <v>194</v>
      </c>
      <c r="G653" s="144" t="s">
        <v>196</v>
      </c>
      <c r="H653" s="145" t="s">
        <v>9</v>
      </c>
      <c r="I653" s="143" t="s">
        <v>2</v>
      </c>
      <c r="J653" s="144" t="s">
        <v>10</v>
      </c>
      <c r="K653" s="144" t="s">
        <v>13</v>
      </c>
      <c r="L653" s="144" t="s">
        <v>14</v>
      </c>
      <c r="M653" s="146" t="s">
        <v>15</v>
      </c>
      <c r="N653" s="147" t="s">
        <v>11</v>
      </c>
      <c r="O653" s="148" t="s">
        <v>12</v>
      </c>
    </row>
    <row r="654" spans="1:15" ht="15.6" thickBot="1" x14ac:dyDescent="0.3">
      <c r="A654" s="85">
        <v>1</v>
      </c>
      <c r="B654" s="388" t="s">
        <v>148</v>
      </c>
      <c r="C654" s="409">
        <v>1106</v>
      </c>
      <c r="D654" s="87" t="s">
        <v>35</v>
      </c>
      <c r="E654" s="311">
        <v>1698.6</v>
      </c>
      <c r="F654" s="171">
        <v>46163</v>
      </c>
      <c r="G654" s="311">
        <v>1772.4</v>
      </c>
      <c r="H654" s="171">
        <v>46197</v>
      </c>
      <c r="I654" s="86">
        <f>G654-E654</f>
        <v>73.800000000000182</v>
      </c>
      <c r="J654" s="86"/>
      <c r="K654" s="86">
        <v>257</v>
      </c>
      <c r="L654" s="385">
        <v>37738.6</v>
      </c>
      <c r="M654" s="312">
        <f t="shared" ref="M654:M660" si="167">I654*K654+J654</f>
        <v>18966.600000000046</v>
      </c>
      <c r="N654" s="313">
        <v>0</v>
      </c>
      <c r="O654" s="314">
        <f t="shared" ref="O654:O655" si="168">M654-N654</f>
        <v>18966.600000000046</v>
      </c>
    </row>
    <row r="655" spans="1:15" ht="15.6" thickBot="1" x14ac:dyDescent="0.3">
      <c r="A655" s="310"/>
      <c r="B655" s="388"/>
      <c r="C655" s="409"/>
      <c r="D655" s="94" t="s">
        <v>36</v>
      </c>
      <c r="E655" s="269">
        <v>9</v>
      </c>
      <c r="F655" s="171">
        <v>46163</v>
      </c>
      <c r="G655" s="269">
        <v>20</v>
      </c>
      <c r="H655" s="171">
        <v>46197</v>
      </c>
      <c r="I655" s="86">
        <f>G655-E655</f>
        <v>11</v>
      </c>
      <c r="J655" s="86">
        <v>1000</v>
      </c>
      <c r="K655" s="93">
        <v>1200</v>
      </c>
      <c r="L655" s="386"/>
      <c r="M655" s="312">
        <f t="shared" si="167"/>
        <v>14200</v>
      </c>
      <c r="N655" s="323"/>
      <c r="O655" s="314">
        <f t="shared" si="168"/>
        <v>14200</v>
      </c>
    </row>
    <row r="656" spans="1:15" ht="15.6" thickBot="1" x14ac:dyDescent="0.3">
      <c r="A656" s="85"/>
      <c r="B656" s="388"/>
      <c r="C656" s="409"/>
      <c r="D656" s="117" t="s">
        <v>37</v>
      </c>
      <c r="E656" s="324"/>
      <c r="F656" s="119"/>
      <c r="G656" s="324"/>
      <c r="H656" s="119"/>
      <c r="I656" s="120">
        <v>1</v>
      </c>
      <c r="J656" s="120"/>
      <c r="K656" s="120">
        <v>25000</v>
      </c>
      <c r="L656" s="386"/>
      <c r="M656" s="312">
        <f t="shared" si="167"/>
        <v>25000</v>
      </c>
      <c r="N656" s="325"/>
      <c r="O656" s="314">
        <f t="shared" ref="O656:O659" si="169">M656+L656-N656</f>
        <v>25000</v>
      </c>
    </row>
    <row r="657" spans="1:15" ht="15.6" thickBot="1" x14ac:dyDescent="0.3">
      <c r="A657" s="85"/>
      <c r="B657" s="388"/>
      <c r="C657" s="409"/>
      <c r="D657" s="94" t="s">
        <v>90</v>
      </c>
      <c r="E657" s="269">
        <v>0</v>
      </c>
      <c r="F657" s="96"/>
      <c r="G657" s="269">
        <v>0</v>
      </c>
      <c r="H657" s="96"/>
      <c r="I657" s="86">
        <f>G657-E657</f>
        <v>0</v>
      </c>
      <c r="J657" s="93"/>
      <c r="K657" s="93">
        <v>0</v>
      </c>
      <c r="L657" s="386"/>
      <c r="M657" s="312">
        <f t="shared" si="167"/>
        <v>0</v>
      </c>
      <c r="N657" s="323"/>
      <c r="O657" s="314">
        <f t="shared" si="169"/>
        <v>0</v>
      </c>
    </row>
    <row r="658" spans="1:15" ht="15.6" thickBot="1" x14ac:dyDescent="0.3">
      <c r="A658" s="85"/>
      <c r="B658" s="388"/>
      <c r="C658" s="409"/>
      <c r="D658" s="94" t="s">
        <v>91</v>
      </c>
      <c r="E658" s="269"/>
      <c r="F658" s="96"/>
      <c r="G658" s="269"/>
      <c r="H658" s="96"/>
      <c r="I658" s="93">
        <v>1</v>
      </c>
      <c r="J658" s="93"/>
      <c r="K658" s="93">
        <v>2000</v>
      </c>
      <c r="L658" s="386"/>
      <c r="M658" s="312">
        <f t="shared" si="167"/>
        <v>2000</v>
      </c>
      <c r="N658" s="323"/>
      <c r="O658" s="314">
        <f t="shared" si="169"/>
        <v>2000</v>
      </c>
    </row>
    <row r="659" spans="1:15" ht="30.6" thickBot="1" x14ac:dyDescent="0.3">
      <c r="A659" s="85"/>
      <c r="B659" s="388"/>
      <c r="C659" s="409"/>
      <c r="D659" s="94" t="s">
        <v>92</v>
      </c>
      <c r="E659" s="269"/>
      <c r="F659" s="96"/>
      <c r="G659" s="269"/>
      <c r="H659" s="96"/>
      <c r="I659" s="93">
        <v>0</v>
      </c>
      <c r="J659" s="93"/>
      <c r="K659" s="93">
        <v>0</v>
      </c>
      <c r="L659" s="386"/>
      <c r="M659" s="312">
        <f t="shared" si="167"/>
        <v>0</v>
      </c>
      <c r="N659" s="323"/>
      <c r="O659" s="314">
        <f t="shared" si="169"/>
        <v>0</v>
      </c>
    </row>
    <row r="660" spans="1:15" x14ac:dyDescent="0.25">
      <c r="A660" s="85"/>
      <c r="B660" s="388"/>
      <c r="C660" s="409"/>
      <c r="D660" s="94" t="s">
        <v>189</v>
      </c>
      <c r="E660" s="269"/>
      <c r="F660" s="96"/>
      <c r="G660" s="269"/>
      <c r="H660" s="96"/>
      <c r="I660" s="93"/>
      <c r="J660" s="93"/>
      <c r="K660" s="93"/>
      <c r="L660" s="387"/>
      <c r="M660" s="312">
        <f t="shared" si="167"/>
        <v>0</v>
      </c>
      <c r="N660" s="323"/>
      <c r="O660" s="314">
        <f>L654</f>
        <v>37738.6</v>
      </c>
    </row>
    <row r="661" spans="1:15" ht="16.2" thickBot="1" x14ac:dyDescent="0.35">
      <c r="B661" s="388"/>
      <c r="C661" s="409"/>
      <c r="D661" s="123" t="s">
        <v>38</v>
      </c>
      <c r="E661" s="326"/>
      <c r="F661" s="125"/>
      <c r="G661" s="326"/>
      <c r="H661" s="125"/>
      <c r="I661" s="126"/>
      <c r="J661" s="126"/>
      <c r="K661" s="126"/>
      <c r="L661" s="327"/>
      <c r="M661" s="327"/>
      <c r="N661" s="328"/>
      <c r="O661" s="329">
        <f>SUM(O654:O660)</f>
        <v>97905.200000000041</v>
      </c>
    </row>
    <row r="662" spans="1:15" ht="53.25" customHeight="1" thickBot="1" x14ac:dyDescent="0.3">
      <c r="A662" s="93"/>
      <c r="B662" s="143" t="s">
        <v>0</v>
      </c>
      <c r="C662" s="144" t="s">
        <v>1</v>
      </c>
      <c r="D662" s="143"/>
      <c r="E662" s="144" t="s">
        <v>198</v>
      </c>
      <c r="F662" s="145" t="s">
        <v>194</v>
      </c>
      <c r="G662" s="144" t="s">
        <v>196</v>
      </c>
      <c r="H662" s="145" t="s">
        <v>9</v>
      </c>
      <c r="I662" s="143" t="s">
        <v>2</v>
      </c>
      <c r="J662" s="144" t="s">
        <v>10</v>
      </c>
      <c r="K662" s="144" t="s">
        <v>13</v>
      </c>
      <c r="L662" s="144" t="s">
        <v>14</v>
      </c>
      <c r="M662" s="146" t="s">
        <v>15</v>
      </c>
      <c r="N662" s="147" t="s">
        <v>11</v>
      </c>
      <c r="O662" s="148" t="s">
        <v>12</v>
      </c>
    </row>
    <row r="663" spans="1:15" ht="15.6" thickBot="1" x14ac:dyDescent="0.3">
      <c r="A663" s="85">
        <v>1</v>
      </c>
      <c r="B663" s="405" t="s">
        <v>149</v>
      </c>
      <c r="C663" s="392">
        <v>1201</v>
      </c>
      <c r="D663" s="87" t="s">
        <v>35</v>
      </c>
      <c r="E663" s="88">
        <v>454.5</v>
      </c>
      <c r="F663" s="171">
        <v>46163</v>
      </c>
      <c r="G663" s="88">
        <v>481.6</v>
      </c>
      <c r="H663" s="171">
        <v>46197</v>
      </c>
      <c r="I663" s="86">
        <f>G663-E663</f>
        <v>27.100000000000023</v>
      </c>
      <c r="J663" s="86"/>
      <c r="K663" s="86">
        <v>257</v>
      </c>
      <c r="L663" s="382">
        <v>-502.5</v>
      </c>
      <c r="M663" s="90">
        <f t="shared" ref="M663:M669" si="170">I663*K663+J663</f>
        <v>6964.7000000000062</v>
      </c>
      <c r="N663" s="91">
        <v>0</v>
      </c>
      <c r="O663" s="92">
        <f t="shared" ref="O663:O664" si="171">M663-N663</f>
        <v>6964.7000000000062</v>
      </c>
    </row>
    <row r="664" spans="1:15" ht="15.6" thickBot="1" x14ac:dyDescent="0.3">
      <c r="A664" s="85"/>
      <c r="B664" s="406"/>
      <c r="C664" s="393"/>
      <c r="D664" s="94" t="s">
        <v>36</v>
      </c>
      <c r="E664" s="95">
        <v>47</v>
      </c>
      <c r="F664" s="171">
        <v>46163</v>
      </c>
      <c r="G664" s="95">
        <v>53</v>
      </c>
      <c r="H664" s="171">
        <v>46197</v>
      </c>
      <c r="I664" s="86">
        <f>G664-E664</f>
        <v>6</v>
      </c>
      <c r="J664" s="86">
        <v>1000</v>
      </c>
      <c r="K664" s="93">
        <v>1200</v>
      </c>
      <c r="L664" s="383"/>
      <c r="M664" s="267">
        <f t="shared" si="170"/>
        <v>8200</v>
      </c>
      <c r="N664" s="98"/>
      <c r="O664" s="92">
        <f t="shared" si="171"/>
        <v>8200</v>
      </c>
    </row>
    <row r="665" spans="1:15" ht="15.6" thickBot="1" x14ac:dyDescent="0.3">
      <c r="A665" s="85"/>
      <c r="B665" s="406"/>
      <c r="C665" s="393"/>
      <c r="D665" s="117" t="s">
        <v>37</v>
      </c>
      <c r="E665" s="118"/>
      <c r="F665" s="119"/>
      <c r="G665" s="118"/>
      <c r="H665" s="119"/>
      <c r="I665" s="120">
        <v>1</v>
      </c>
      <c r="J665" s="120"/>
      <c r="K665" s="120">
        <v>25000</v>
      </c>
      <c r="L665" s="383"/>
      <c r="M665" s="90">
        <f t="shared" si="170"/>
        <v>25000</v>
      </c>
      <c r="N665" s="99"/>
      <c r="O665" s="92">
        <f t="shared" ref="O665:O668" si="172">M665+L665-N665</f>
        <v>25000</v>
      </c>
    </row>
    <row r="666" spans="1:15" ht="15.6" thickBot="1" x14ac:dyDescent="0.3">
      <c r="A666" s="85"/>
      <c r="B666" s="406"/>
      <c r="C666" s="393"/>
      <c r="D666" s="94" t="s">
        <v>90</v>
      </c>
      <c r="E666" s="95"/>
      <c r="F666" s="96"/>
      <c r="G666" s="95"/>
      <c r="H666" s="96"/>
      <c r="I666" s="93"/>
      <c r="J666" s="93"/>
      <c r="K666" s="93">
        <v>0</v>
      </c>
      <c r="L666" s="383"/>
      <c r="M666" s="90">
        <f t="shared" si="170"/>
        <v>0</v>
      </c>
      <c r="N666" s="98"/>
      <c r="O666" s="92">
        <f t="shared" si="172"/>
        <v>0</v>
      </c>
    </row>
    <row r="667" spans="1:15" ht="15.6" thickBot="1" x14ac:dyDescent="0.3">
      <c r="A667" s="85"/>
      <c r="B667" s="406"/>
      <c r="C667" s="393"/>
      <c r="D667" s="94" t="s">
        <v>91</v>
      </c>
      <c r="E667" s="95"/>
      <c r="F667" s="96"/>
      <c r="G667" s="95"/>
      <c r="H667" s="96"/>
      <c r="I667" s="93">
        <v>1</v>
      </c>
      <c r="J667" s="93"/>
      <c r="K667" s="93">
        <v>2000</v>
      </c>
      <c r="L667" s="383"/>
      <c r="M667" s="90">
        <f t="shared" si="170"/>
        <v>2000</v>
      </c>
      <c r="N667" s="98"/>
      <c r="O667" s="92">
        <f t="shared" si="172"/>
        <v>2000</v>
      </c>
    </row>
    <row r="668" spans="1:15" ht="30.6" thickBot="1" x14ac:dyDescent="0.3">
      <c r="A668" s="85"/>
      <c r="B668" s="406"/>
      <c r="C668" s="393"/>
      <c r="D668" s="94" t="s">
        <v>92</v>
      </c>
      <c r="E668" s="95"/>
      <c r="F668" s="96"/>
      <c r="G668" s="95"/>
      <c r="H668" s="96"/>
      <c r="I668" s="93">
        <v>0</v>
      </c>
      <c r="J668" s="93"/>
      <c r="K668" s="93"/>
      <c r="L668" s="383"/>
      <c r="M668" s="90">
        <f t="shared" si="170"/>
        <v>0</v>
      </c>
      <c r="N668" s="98"/>
      <c r="O668" s="92">
        <f t="shared" si="172"/>
        <v>0</v>
      </c>
    </row>
    <row r="669" spans="1:15" x14ac:dyDescent="0.25">
      <c r="A669" s="85"/>
      <c r="B669" s="406"/>
      <c r="C669" s="393"/>
      <c r="D669" s="94" t="s">
        <v>189</v>
      </c>
      <c r="E669" s="95"/>
      <c r="F669" s="96"/>
      <c r="G669" s="95"/>
      <c r="H669" s="96"/>
      <c r="I669" s="93"/>
      <c r="J669" s="93"/>
      <c r="K669" s="93"/>
      <c r="L669" s="384"/>
      <c r="M669" s="90">
        <f t="shared" si="170"/>
        <v>0</v>
      </c>
      <c r="N669" s="98"/>
      <c r="O669" s="92">
        <f>L663</f>
        <v>-502.5</v>
      </c>
    </row>
    <row r="670" spans="1:15" ht="16.2" thickBot="1" x14ac:dyDescent="0.35">
      <c r="A670" s="153"/>
      <c r="B670" s="406"/>
      <c r="C670" s="393"/>
      <c r="D670" s="123" t="s">
        <v>38</v>
      </c>
      <c r="E670" s="124"/>
      <c r="F670" s="125"/>
      <c r="G670" s="124"/>
      <c r="H670" s="125"/>
      <c r="I670" s="126"/>
      <c r="J670" s="126"/>
      <c r="K670" s="126"/>
      <c r="L670" s="127"/>
      <c r="M670" s="127"/>
      <c r="N670" s="128"/>
      <c r="O670" s="107">
        <f>SUM(O663:O669)</f>
        <v>41662.200000000004</v>
      </c>
    </row>
    <row r="671" spans="1:15" ht="79.5" customHeight="1" x14ac:dyDescent="0.3">
      <c r="A671" s="153"/>
      <c r="B671" s="149"/>
      <c r="C671" s="110"/>
      <c r="D671" s="112"/>
      <c r="E671" s="138"/>
      <c r="F671" s="139"/>
      <c r="G671" s="138"/>
      <c r="H671" s="139"/>
      <c r="L671" s="140"/>
      <c r="M671" s="140"/>
      <c r="N671" s="141"/>
      <c r="O671" s="142"/>
    </row>
    <row r="672" spans="1:15" ht="31.8" thickBot="1" x14ac:dyDescent="0.3">
      <c r="A672" s="93"/>
      <c r="B672" s="143" t="s">
        <v>0</v>
      </c>
      <c r="C672" s="144" t="s">
        <v>1</v>
      </c>
      <c r="D672" s="143"/>
      <c r="E672" s="144" t="s">
        <v>198</v>
      </c>
      <c r="F672" s="145" t="s">
        <v>194</v>
      </c>
      <c r="G672" s="144" t="s">
        <v>196</v>
      </c>
      <c r="H672" s="145" t="s">
        <v>9</v>
      </c>
      <c r="I672" s="143" t="s">
        <v>2</v>
      </c>
      <c r="J672" s="144" t="s">
        <v>10</v>
      </c>
      <c r="K672" s="144" t="s">
        <v>13</v>
      </c>
      <c r="L672" s="144" t="s">
        <v>14</v>
      </c>
      <c r="M672" s="146" t="s">
        <v>15</v>
      </c>
      <c r="N672" s="147" t="s">
        <v>11</v>
      </c>
      <c r="O672" s="148" t="s">
        <v>12</v>
      </c>
    </row>
    <row r="673" spans="1:15" ht="15.6" thickBot="1" x14ac:dyDescent="0.3">
      <c r="A673" s="85">
        <v>1</v>
      </c>
      <c r="B673" s="398" t="s">
        <v>150</v>
      </c>
      <c r="C673" s="405" t="s">
        <v>151</v>
      </c>
      <c r="D673" s="87" t="s">
        <v>35</v>
      </c>
      <c r="E673" s="88">
        <v>519.9</v>
      </c>
      <c r="F673" s="171">
        <v>46163</v>
      </c>
      <c r="G673" s="88">
        <v>563.5</v>
      </c>
      <c r="H673" s="171">
        <v>46197</v>
      </c>
      <c r="I673" s="86">
        <f>G673-E673</f>
        <v>43.600000000000023</v>
      </c>
      <c r="J673" s="86"/>
      <c r="K673" s="86">
        <v>257</v>
      </c>
      <c r="L673" s="382">
        <v>4529.3</v>
      </c>
      <c r="M673" s="90">
        <f t="shared" ref="M673:M679" si="173">I673*K673+J673</f>
        <v>11205.200000000006</v>
      </c>
      <c r="N673" s="91">
        <v>0</v>
      </c>
      <c r="O673" s="92">
        <f t="shared" ref="O673:O674" si="174">M673-N673</f>
        <v>11205.200000000006</v>
      </c>
    </row>
    <row r="674" spans="1:15" ht="15.6" thickBot="1" x14ac:dyDescent="0.3">
      <c r="A674" s="85"/>
      <c r="B674" s="399"/>
      <c r="C674" s="406"/>
      <c r="D674" s="94" t="s">
        <v>36</v>
      </c>
      <c r="E674" s="269">
        <v>517</v>
      </c>
      <c r="F674" s="171">
        <v>46163</v>
      </c>
      <c r="G674" s="269">
        <v>540</v>
      </c>
      <c r="H674" s="171">
        <v>46197</v>
      </c>
      <c r="I674" s="86">
        <f>G674-E674</f>
        <v>23</v>
      </c>
      <c r="J674" s="86">
        <v>1000</v>
      </c>
      <c r="K674" s="93">
        <v>1200</v>
      </c>
      <c r="L674" s="383"/>
      <c r="M674" s="90">
        <f t="shared" si="173"/>
        <v>28600</v>
      </c>
      <c r="N674" s="98"/>
      <c r="O674" s="92">
        <f t="shared" si="174"/>
        <v>28600</v>
      </c>
    </row>
    <row r="675" spans="1:15" ht="15.6" thickBot="1" x14ac:dyDescent="0.3">
      <c r="A675" s="85"/>
      <c r="B675" s="399"/>
      <c r="C675" s="406"/>
      <c r="D675" s="117" t="s">
        <v>37</v>
      </c>
      <c r="E675" s="118"/>
      <c r="F675" s="119"/>
      <c r="G675" s="118"/>
      <c r="H675" s="119"/>
      <c r="I675" s="120">
        <v>1</v>
      </c>
      <c r="J675" s="120"/>
      <c r="K675" s="120">
        <v>25000</v>
      </c>
      <c r="L675" s="383"/>
      <c r="M675" s="90">
        <f t="shared" si="173"/>
        <v>25000</v>
      </c>
      <c r="N675" s="99"/>
      <c r="O675" s="92">
        <f t="shared" ref="O675:O678" si="175">M675+L675-N675</f>
        <v>25000</v>
      </c>
    </row>
    <row r="676" spans="1:15" ht="15.6" thickBot="1" x14ac:dyDescent="0.3">
      <c r="A676" s="85"/>
      <c r="B676" s="399"/>
      <c r="C676" s="406"/>
      <c r="D676" s="94" t="s">
        <v>90</v>
      </c>
      <c r="E676" s="95"/>
      <c r="F676" s="96"/>
      <c r="G676" s="95"/>
      <c r="H676" s="96"/>
      <c r="I676" s="93"/>
      <c r="J676" s="93"/>
      <c r="K676" s="93">
        <v>0</v>
      </c>
      <c r="L676" s="383"/>
      <c r="M676" s="90">
        <f t="shared" si="173"/>
        <v>0</v>
      </c>
      <c r="N676" s="98"/>
      <c r="O676" s="92">
        <f t="shared" si="175"/>
        <v>0</v>
      </c>
    </row>
    <row r="677" spans="1:15" ht="15.6" thickBot="1" x14ac:dyDescent="0.3">
      <c r="A677" s="85"/>
      <c r="B677" s="399"/>
      <c r="C677" s="406"/>
      <c r="D677" s="94" t="s">
        <v>91</v>
      </c>
      <c r="E677" s="95"/>
      <c r="F677" s="96"/>
      <c r="G677" s="95"/>
      <c r="H677" s="96"/>
      <c r="I677" s="93">
        <v>1</v>
      </c>
      <c r="J677" s="93"/>
      <c r="K677" s="93">
        <v>2000</v>
      </c>
      <c r="L677" s="383"/>
      <c r="M677" s="90">
        <f t="shared" si="173"/>
        <v>2000</v>
      </c>
      <c r="N677" s="98"/>
      <c r="O677" s="92">
        <f t="shared" si="175"/>
        <v>2000</v>
      </c>
    </row>
    <row r="678" spans="1:15" ht="30.6" thickBot="1" x14ac:dyDescent="0.3">
      <c r="A678" s="85"/>
      <c r="B678" s="399"/>
      <c r="C678" s="406"/>
      <c r="D678" s="94" t="s">
        <v>92</v>
      </c>
      <c r="E678" s="95"/>
      <c r="F678" s="96"/>
      <c r="G678" s="95"/>
      <c r="H678" s="96"/>
      <c r="I678" s="93">
        <v>0</v>
      </c>
      <c r="J678" s="93"/>
      <c r="K678" s="93">
        <v>0</v>
      </c>
      <c r="L678" s="383"/>
      <c r="M678" s="90">
        <f t="shared" si="173"/>
        <v>0</v>
      </c>
      <c r="N678" s="98"/>
      <c r="O678" s="92">
        <f t="shared" si="175"/>
        <v>0</v>
      </c>
    </row>
    <row r="679" spans="1:15" x14ac:dyDescent="0.25">
      <c r="A679" s="85"/>
      <c r="B679" s="399"/>
      <c r="C679" s="406"/>
      <c r="D679" s="94" t="s">
        <v>189</v>
      </c>
      <c r="E679" s="95"/>
      <c r="F679" s="96"/>
      <c r="G679" s="95"/>
      <c r="H679" s="96"/>
      <c r="I679" s="93"/>
      <c r="J679" s="93"/>
      <c r="K679" s="93"/>
      <c r="L679" s="384"/>
      <c r="M679" s="90">
        <f t="shared" si="173"/>
        <v>0</v>
      </c>
      <c r="N679" s="98"/>
      <c r="O679" s="92">
        <f>L673</f>
        <v>4529.3</v>
      </c>
    </row>
    <row r="680" spans="1:15" ht="16.2" thickBot="1" x14ac:dyDescent="0.35">
      <c r="B680" s="399"/>
      <c r="C680" s="406"/>
      <c r="D680" s="123" t="s">
        <v>38</v>
      </c>
      <c r="E680" s="124"/>
      <c r="F680" s="125"/>
      <c r="G680" s="124"/>
      <c r="H680" s="125"/>
      <c r="I680" s="126"/>
      <c r="J680" s="126"/>
      <c r="K680" s="126"/>
      <c r="L680" s="127">
        <v>0.4</v>
      </c>
      <c r="M680" s="127"/>
      <c r="N680" s="128"/>
      <c r="O680" s="107">
        <f>SUM(O673:O679)</f>
        <v>71334.500000000015</v>
      </c>
    </row>
    <row r="681" spans="1:15" ht="15.6" x14ac:dyDescent="0.3">
      <c r="B681" s="70"/>
      <c r="C681" s="70"/>
      <c r="E681" s="138"/>
      <c r="F681" s="139"/>
      <c r="G681" s="138"/>
      <c r="H681" s="139"/>
      <c r="L681" s="140"/>
      <c r="M681" s="140"/>
      <c r="N681" s="141"/>
      <c r="O681" s="142"/>
    </row>
    <row r="682" spans="1:15" ht="15.6" x14ac:dyDescent="0.3">
      <c r="B682" s="70"/>
      <c r="C682" s="70"/>
      <c r="E682" s="138"/>
      <c r="F682" s="139"/>
      <c r="G682" s="138"/>
      <c r="H682" s="139"/>
      <c r="L682" s="140"/>
      <c r="M682" s="140"/>
      <c r="N682" s="141"/>
      <c r="O682" s="142"/>
    </row>
    <row r="683" spans="1:15" ht="15.6" x14ac:dyDescent="0.3">
      <c r="B683" s="70"/>
      <c r="C683" s="70"/>
      <c r="E683" s="138"/>
      <c r="F683" s="139"/>
      <c r="G683" s="138"/>
      <c r="H683" s="139"/>
      <c r="L683" s="140"/>
      <c r="M683" s="140"/>
      <c r="N683" s="141"/>
      <c r="O683" s="142"/>
    </row>
    <row r="685" spans="1:15" ht="9.75" customHeight="1" x14ac:dyDescent="0.25"/>
    <row r="686" spans="1:15" ht="31.8" thickBot="1" x14ac:dyDescent="0.3">
      <c r="A686" s="93"/>
      <c r="B686" s="143" t="s">
        <v>0</v>
      </c>
      <c r="C686" s="144" t="s">
        <v>1</v>
      </c>
      <c r="D686" s="143"/>
      <c r="E686" s="144" t="s">
        <v>198</v>
      </c>
      <c r="F686" s="145" t="s">
        <v>194</v>
      </c>
      <c r="G686" s="144" t="s">
        <v>196</v>
      </c>
      <c r="H686" s="145" t="s">
        <v>9</v>
      </c>
      <c r="I686" s="143" t="s">
        <v>2</v>
      </c>
      <c r="J686" s="144" t="s">
        <v>10</v>
      </c>
      <c r="K686" s="144" t="s">
        <v>13</v>
      </c>
      <c r="L686" s="144" t="s">
        <v>14</v>
      </c>
      <c r="M686" s="146" t="s">
        <v>15</v>
      </c>
      <c r="N686" s="147" t="s">
        <v>11</v>
      </c>
      <c r="O686" s="148" t="s">
        <v>12</v>
      </c>
    </row>
    <row r="687" spans="1:15" ht="15.6" thickBot="1" x14ac:dyDescent="0.3">
      <c r="A687" s="85">
        <v>1</v>
      </c>
      <c r="B687" s="402" t="s">
        <v>123</v>
      </c>
      <c r="C687" s="392">
        <v>1203</v>
      </c>
      <c r="D687" s="87" t="s">
        <v>35</v>
      </c>
      <c r="E687" s="88">
        <v>254.2</v>
      </c>
      <c r="F687" s="171">
        <v>46163</v>
      </c>
      <c r="G687" s="88">
        <v>254.2</v>
      </c>
      <c r="H687" s="171">
        <v>46197</v>
      </c>
      <c r="I687" s="86">
        <f>G687-E687</f>
        <v>0</v>
      </c>
      <c r="J687" s="86"/>
      <c r="K687" s="86">
        <v>257</v>
      </c>
      <c r="L687" s="382">
        <v>17257.400000000001</v>
      </c>
      <c r="M687" s="90">
        <f t="shared" ref="M687:M693" si="176">I687*K687+J687</f>
        <v>0</v>
      </c>
      <c r="N687" s="91">
        <v>0</v>
      </c>
      <c r="O687" s="92">
        <f t="shared" ref="O687:O688" si="177">M687-N687</f>
        <v>0</v>
      </c>
    </row>
    <row r="688" spans="1:15" ht="15.6" thickBot="1" x14ac:dyDescent="0.3">
      <c r="A688" s="85"/>
      <c r="B688" s="403"/>
      <c r="C688" s="393"/>
      <c r="D688" s="94" t="s">
        <v>36</v>
      </c>
      <c r="E688" s="95">
        <v>122</v>
      </c>
      <c r="F688" s="171">
        <v>46163</v>
      </c>
      <c r="G688" s="95">
        <v>122</v>
      </c>
      <c r="H688" s="171">
        <v>46197</v>
      </c>
      <c r="I688" s="86">
        <f>G688-E688</f>
        <v>0</v>
      </c>
      <c r="J688" s="86">
        <v>0</v>
      </c>
      <c r="K688" s="93">
        <v>1200</v>
      </c>
      <c r="L688" s="383"/>
      <c r="M688" s="90">
        <f t="shared" si="176"/>
        <v>0</v>
      </c>
      <c r="N688" s="98"/>
      <c r="O688" s="92">
        <f t="shared" si="177"/>
        <v>0</v>
      </c>
    </row>
    <row r="689" spans="1:15" ht="15.6" thickBot="1" x14ac:dyDescent="0.3">
      <c r="A689" s="85"/>
      <c r="B689" s="403"/>
      <c r="C689" s="393"/>
      <c r="D689" s="117" t="s">
        <v>37</v>
      </c>
      <c r="E689" s="118"/>
      <c r="F689" s="119"/>
      <c r="G689" s="118"/>
      <c r="H689" s="119"/>
      <c r="I689" s="120">
        <v>1</v>
      </c>
      <c r="J689" s="120"/>
      <c r="K689" s="120">
        <v>15000</v>
      </c>
      <c r="L689" s="383"/>
      <c r="M689" s="90">
        <f>I689*K689+J689</f>
        <v>15000</v>
      </c>
      <c r="N689" s="99"/>
      <c r="O689" s="92">
        <f t="shared" ref="O689:O692" si="178">M689+L689-N689</f>
        <v>15000</v>
      </c>
    </row>
    <row r="690" spans="1:15" ht="15.6" thickBot="1" x14ac:dyDescent="0.3">
      <c r="A690" s="85"/>
      <c r="B690" s="403"/>
      <c r="C690" s="393"/>
      <c r="D690" s="94" t="s">
        <v>90</v>
      </c>
      <c r="E690" s="95"/>
      <c r="F690" s="96"/>
      <c r="G690" s="95"/>
      <c r="H690" s="96"/>
      <c r="I690" s="93"/>
      <c r="J690" s="93"/>
      <c r="K690" s="93">
        <v>0</v>
      </c>
      <c r="L690" s="383"/>
      <c r="M690" s="90">
        <f t="shared" si="176"/>
        <v>0</v>
      </c>
      <c r="N690" s="98"/>
      <c r="O690" s="92">
        <f t="shared" si="178"/>
        <v>0</v>
      </c>
    </row>
    <row r="691" spans="1:15" ht="15.6" thickBot="1" x14ac:dyDescent="0.3">
      <c r="A691" s="85"/>
      <c r="B691" s="403"/>
      <c r="C691" s="393"/>
      <c r="D691" s="94" t="s">
        <v>91</v>
      </c>
      <c r="E691" s="95"/>
      <c r="F691" s="96"/>
      <c r="G691" s="95"/>
      <c r="H691" s="96"/>
      <c r="I691" s="93">
        <v>1</v>
      </c>
      <c r="J691" s="93"/>
      <c r="K691" s="93">
        <v>2000</v>
      </c>
      <c r="L691" s="383"/>
      <c r="M691" s="90">
        <f t="shared" si="176"/>
        <v>2000</v>
      </c>
      <c r="N691" s="98"/>
      <c r="O691" s="92">
        <f t="shared" si="178"/>
        <v>2000</v>
      </c>
    </row>
    <row r="692" spans="1:15" ht="30.6" thickBot="1" x14ac:dyDescent="0.3">
      <c r="A692" s="85"/>
      <c r="B692" s="403"/>
      <c r="C692" s="393"/>
      <c r="D692" s="94" t="s">
        <v>92</v>
      </c>
      <c r="E692" s="95"/>
      <c r="F692" s="96"/>
      <c r="G692" s="95"/>
      <c r="H692" s="96"/>
      <c r="I692" s="93">
        <v>0</v>
      </c>
      <c r="J692" s="93"/>
      <c r="K692" s="93">
        <v>0</v>
      </c>
      <c r="L692" s="383"/>
      <c r="M692" s="90">
        <f t="shared" si="176"/>
        <v>0</v>
      </c>
      <c r="N692" s="98"/>
      <c r="O692" s="92">
        <f t="shared" si="178"/>
        <v>0</v>
      </c>
    </row>
    <row r="693" spans="1:15" x14ac:dyDescent="0.25">
      <c r="A693" s="85"/>
      <c r="B693" s="403"/>
      <c r="C693" s="393"/>
      <c r="D693" s="94" t="s">
        <v>189</v>
      </c>
      <c r="E693" s="95"/>
      <c r="F693" s="96"/>
      <c r="G693" s="95"/>
      <c r="H693" s="96"/>
      <c r="I693" s="93"/>
      <c r="J693" s="93"/>
      <c r="K693" s="93"/>
      <c r="L693" s="384"/>
      <c r="M693" s="90">
        <f t="shared" si="176"/>
        <v>0</v>
      </c>
      <c r="N693" s="98"/>
      <c r="O693" s="92">
        <f>L687</f>
        <v>17257.400000000001</v>
      </c>
    </row>
    <row r="694" spans="1:15" ht="16.2" thickBot="1" x14ac:dyDescent="0.35">
      <c r="B694" s="404"/>
      <c r="C694" s="394"/>
      <c r="D694" s="123" t="s">
        <v>38</v>
      </c>
      <c r="E694" s="124"/>
      <c r="F694" s="125"/>
      <c r="G694" s="124"/>
      <c r="H694" s="125"/>
      <c r="I694" s="126"/>
      <c r="J694" s="126"/>
      <c r="K694" s="126"/>
      <c r="L694" s="127"/>
      <c r="M694" s="127"/>
      <c r="N694" s="128"/>
      <c r="O694" s="107">
        <f>SUM(O687:O693)</f>
        <v>34257.4</v>
      </c>
    </row>
    <row r="695" spans="1:15" ht="15.6" x14ac:dyDescent="0.3">
      <c r="B695" s="70"/>
      <c r="D695" s="112"/>
      <c r="E695" s="138"/>
      <c r="F695" s="139"/>
      <c r="G695" s="138"/>
      <c r="H695" s="139"/>
      <c r="L695" s="140"/>
      <c r="M695" s="140"/>
      <c r="N695" s="141"/>
      <c r="O695" s="142"/>
    </row>
    <row r="696" spans="1:15" ht="15.6" x14ac:dyDescent="0.3">
      <c r="B696" s="70"/>
      <c r="D696" s="112"/>
      <c r="E696" s="138"/>
      <c r="F696" s="139"/>
      <c r="G696" s="138"/>
      <c r="H696" s="139"/>
      <c r="L696" s="140"/>
      <c r="M696" s="140"/>
      <c r="N696" s="141"/>
      <c r="O696" s="142"/>
    </row>
    <row r="697" spans="1:15" ht="31.8" thickBot="1" x14ac:dyDescent="0.3">
      <c r="A697" s="93"/>
      <c r="B697" s="143" t="s">
        <v>0</v>
      </c>
      <c r="C697" s="144" t="s">
        <v>1</v>
      </c>
      <c r="D697" s="143"/>
      <c r="E697" s="144" t="s">
        <v>198</v>
      </c>
      <c r="F697" s="145" t="s">
        <v>194</v>
      </c>
      <c r="G697" s="144" t="s">
        <v>196</v>
      </c>
      <c r="H697" s="145" t="s">
        <v>9</v>
      </c>
      <c r="I697" s="143" t="s">
        <v>2</v>
      </c>
      <c r="J697" s="144" t="s">
        <v>10</v>
      </c>
      <c r="K697" s="144" t="s">
        <v>13</v>
      </c>
      <c r="L697" s="144" t="s">
        <v>14</v>
      </c>
      <c r="M697" s="146" t="s">
        <v>15</v>
      </c>
      <c r="N697" s="147" t="s">
        <v>11</v>
      </c>
      <c r="O697" s="148" t="s">
        <v>12</v>
      </c>
    </row>
    <row r="698" spans="1:15" ht="15.6" thickBot="1" x14ac:dyDescent="0.3">
      <c r="A698" s="85">
        <v>1</v>
      </c>
      <c r="B698" s="405" t="s">
        <v>101</v>
      </c>
      <c r="C698" s="392">
        <v>1204</v>
      </c>
      <c r="D698" s="87" t="s">
        <v>35</v>
      </c>
      <c r="E698" s="88">
        <v>251.1</v>
      </c>
      <c r="F698" s="89">
        <v>46163</v>
      </c>
      <c r="G698" s="88">
        <v>274.7</v>
      </c>
      <c r="H698" s="89">
        <v>46197</v>
      </c>
      <c r="I698" s="86">
        <f>G698-E698</f>
        <v>23.599999999999994</v>
      </c>
      <c r="J698" s="86"/>
      <c r="K698" s="86">
        <v>257</v>
      </c>
      <c r="L698" s="382">
        <v>0.9</v>
      </c>
      <c r="M698" s="90">
        <f t="shared" ref="M698:M704" si="179">I698*K698+J698</f>
        <v>6065.1999999999989</v>
      </c>
      <c r="N698" s="91">
        <v>0</v>
      </c>
      <c r="O698" s="92">
        <f t="shared" ref="O698:O699" si="180">M698-N698</f>
        <v>6065.1999999999989</v>
      </c>
    </row>
    <row r="699" spans="1:15" ht="15.6" thickBot="1" x14ac:dyDescent="0.3">
      <c r="A699" s="85"/>
      <c r="B699" s="406"/>
      <c r="C699" s="393"/>
      <c r="D699" s="94" t="s">
        <v>36</v>
      </c>
      <c r="E699" s="95">
        <v>117</v>
      </c>
      <c r="F699" s="89">
        <v>46163</v>
      </c>
      <c r="G699" s="95">
        <v>141</v>
      </c>
      <c r="H699" s="89">
        <v>46197</v>
      </c>
      <c r="I699" s="86">
        <f>G699-E699</f>
        <v>24</v>
      </c>
      <c r="J699" s="86">
        <v>1000</v>
      </c>
      <c r="K699" s="93">
        <v>1200</v>
      </c>
      <c r="L699" s="383"/>
      <c r="M699" s="90">
        <f t="shared" si="179"/>
        <v>29800</v>
      </c>
      <c r="N699" s="98"/>
      <c r="O699" s="92">
        <f t="shared" si="180"/>
        <v>29800</v>
      </c>
    </row>
    <row r="700" spans="1:15" ht="15.6" thickBot="1" x14ac:dyDescent="0.3">
      <c r="A700" s="85"/>
      <c r="B700" s="406"/>
      <c r="C700" s="393"/>
      <c r="D700" s="117" t="s">
        <v>37</v>
      </c>
      <c r="E700" s="118"/>
      <c r="F700" s="119"/>
      <c r="G700" s="118"/>
      <c r="H700" s="119"/>
      <c r="I700" s="120">
        <v>1</v>
      </c>
      <c r="J700" s="120"/>
      <c r="K700" s="120">
        <v>25000</v>
      </c>
      <c r="L700" s="383"/>
      <c r="M700" s="90">
        <f t="shared" si="179"/>
        <v>25000</v>
      </c>
      <c r="N700" s="99"/>
      <c r="O700" s="92">
        <f t="shared" ref="O700:O703" si="181">M700+L700-N700</f>
        <v>25000</v>
      </c>
    </row>
    <row r="701" spans="1:15" ht="15.6" thickBot="1" x14ac:dyDescent="0.3">
      <c r="A701" s="85"/>
      <c r="B701" s="406"/>
      <c r="C701" s="393"/>
      <c r="D701" s="117" t="s">
        <v>90</v>
      </c>
      <c r="E701" s="118"/>
      <c r="F701" s="119"/>
      <c r="G701" s="118"/>
      <c r="H701" s="119"/>
      <c r="I701" s="120"/>
      <c r="J701" s="120"/>
      <c r="K701" s="120">
        <v>0</v>
      </c>
      <c r="L701" s="383"/>
      <c r="M701" s="90">
        <f t="shared" si="179"/>
        <v>0</v>
      </c>
      <c r="N701" s="98"/>
      <c r="O701" s="92">
        <f t="shared" si="181"/>
        <v>0</v>
      </c>
    </row>
    <row r="702" spans="1:15" ht="15.6" thickBot="1" x14ac:dyDescent="0.3">
      <c r="A702" s="85"/>
      <c r="B702" s="406"/>
      <c r="C702" s="393"/>
      <c r="D702" s="94" t="s">
        <v>91</v>
      </c>
      <c r="E702" s="95"/>
      <c r="F702" s="96"/>
      <c r="G702" s="95"/>
      <c r="H702" s="96"/>
      <c r="I702" s="93">
        <v>1</v>
      </c>
      <c r="J702" s="93"/>
      <c r="K702" s="93">
        <v>2000</v>
      </c>
      <c r="L702" s="383"/>
      <c r="M702" s="90">
        <f t="shared" si="179"/>
        <v>2000</v>
      </c>
      <c r="N702" s="98"/>
      <c r="O702" s="92">
        <f t="shared" si="181"/>
        <v>2000</v>
      </c>
    </row>
    <row r="703" spans="1:15" ht="30.6" thickBot="1" x14ac:dyDescent="0.3">
      <c r="A703" s="85"/>
      <c r="B703" s="406"/>
      <c r="C703" s="393"/>
      <c r="D703" s="94" t="s">
        <v>92</v>
      </c>
      <c r="E703" s="95"/>
      <c r="F703" s="96"/>
      <c r="G703" s="95"/>
      <c r="H703" s="96"/>
      <c r="I703" s="93"/>
      <c r="J703" s="93"/>
      <c r="K703" s="93"/>
      <c r="L703" s="383"/>
      <c r="M703" s="90">
        <f t="shared" si="179"/>
        <v>0</v>
      </c>
      <c r="N703" s="98"/>
      <c r="O703" s="92">
        <f t="shared" si="181"/>
        <v>0</v>
      </c>
    </row>
    <row r="704" spans="1:15" x14ac:dyDescent="0.25">
      <c r="A704" s="85"/>
      <c r="B704" s="406"/>
      <c r="C704" s="393"/>
      <c r="D704" s="94" t="s">
        <v>189</v>
      </c>
      <c r="E704" s="95"/>
      <c r="F704" s="96"/>
      <c r="G704" s="95"/>
      <c r="H704" s="96"/>
      <c r="I704" s="93"/>
      <c r="J704" s="93"/>
      <c r="K704" s="93"/>
      <c r="L704" s="384"/>
      <c r="M704" s="90">
        <f t="shared" si="179"/>
        <v>0</v>
      </c>
      <c r="N704" s="98"/>
      <c r="O704" s="92">
        <f>L698</f>
        <v>0.9</v>
      </c>
    </row>
    <row r="705" spans="1:15" ht="16.2" thickBot="1" x14ac:dyDescent="0.35">
      <c r="B705" s="407"/>
      <c r="C705" s="394"/>
      <c r="D705" s="93" t="s">
        <v>38</v>
      </c>
      <c r="E705" s="95"/>
      <c r="F705" s="96"/>
      <c r="G705" s="95"/>
      <c r="H705" s="96"/>
      <c r="I705" s="93"/>
      <c r="J705" s="93"/>
      <c r="K705" s="93"/>
      <c r="L705" s="97"/>
      <c r="M705" s="127"/>
      <c r="N705" s="128"/>
      <c r="O705" s="107">
        <f>SUM(O698:O704)</f>
        <v>62866.1</v>
      </c>
    </row>
    <row r="706" spans="1:15" ht="15.6" x14ac:dyDescent="0.3">
      <c r="B706" s="70"/>
      <c r="D706" s="112"/>
      <c r="E706" s="138"/>
      <c r="F706" s="139"/>
      <c r="G706" s="138"/>
      <c r="H706" s="139"/>
      <c r="L706" s="140"/>
      <c r="M706" s="140"/>
      <c r="N706" s="141"/>
      <c r="O706" s="142"/>
    </row>
    <row r="707" spans="1:15" ht="15.6" x14ac:dyDescent="0.3">
      <c r="B707" s="70"/>
      <c r="D707" s="112"/>
      <c r="E707" s="138"/>
      <c r="F707" s="139"/>
      <c r="G707" s="138"/>
      <c r="H707" s="139"/>
      <c r="L707" s="140"/>
      <c r="M707" s="140"/>
      <c r="N707" s="141"/>
      <c r="O707" s="142"/>
    </row>
    <row r="708" spans="1:15" ht="15.6" x14ac:dyDescent="0.3">
      <c r="B708" s="70"/>
      <c r="D708" s="112"/>
      <c r="E708" s="138"/>
      <c r="F708" s="139"/>
      <c r="G708" s="138"/>
      <c r="H708" s="139"/>
      <c r="L708" s="140"/>
      <c r="M708" s="140"/>
      <c r="N708" s="141"/>
      <c r="O708" s="142"/>
    </row>
    <row r="709" spans="1:15" ht="15.6" x14ac:dyDescent="0.3">
      <c r="B709" s="70"/>
      <c r="D709" s="112"/>
      <c r="E709" s="138"/>
      <c r="F709" s="139"/>
      <c r="G709" s="138"/>
      <c r="H709" s="139"/>
      <c r="L709" s="140"/>
      <c r="M709" s="140"/>
      <c r="N709" s="141"/>
      <c r="O709" s="142"/>
    </row>
    <row r="710" spans="1:15" ht="15.6" x14ac:dyDescent="0.3">
      <c r="B710" s="70"/>
      <c r="D710" s="112"/>
      <c r="E710" s="138"/>
      <c r="F710" s="139"/>
      <c r="G710" s="138"/>
      <c r="H710" s="139"/>
      <c r="L710" s="140"/>
      <c r="M710" s="140"/>
      <c r="N710" s="141"/>
      <c r="O710" s="142"/>
    </row>
    <row r="711" spans="1:15" ht="15.6" x14ac:dyDescent="0.3">
      <c r="B711" s="70"/>
      <c r="D711" s="112"/>
      <c r="E711" s="138"/>
      <c r="F711" s="139"/>
      <c r="G711" s="138"/>
      <c r="H711" s="139"/>
      <c r="L711" s="140"/>
      <c r="M711" s="140"/>
      <c r="N711" s="141"/>
      <c r="O711" s="142"/>
    </row>
    <row r="712" spans="1:15" ht="15.6" x14ac:dyDescent="0.3">
      <c r="B712" s="70"/>
      <c r="D712" s="112"/>
      <c r="E712" s="138"/>
      <c r="F712" s="139"/>
      <c r="G712" s="138"/>
      <c r="H712" s="139"/>
      <c r="L712" s="140"/>
      <c r="M712" s="140"/>
      <c r="N712" s="141"/>
      <c r="O712" s="142"/>
    </row>
    <row r="713" spans="1:15" ht="15.6" x14ac:dyDescent="0.3">
      <c r="B713" s="70"/>
      <c r="D713" s="112"/>
      <c r="E713" s="138"/>
      <c r="F713" s="139"/>
      <c r="G713" s="138"/>
      <c r="H713" s="139"/>
      <c r="L713" s="140"/>
      <c r="M713" s="140"/>
      <c r="N713" s="141"/>
      <c r="O713" s="142"/>
    </row>
    <row r="714" spans="1:15" ht="15.6" x14ac:dyDescent="0.3">
      <c r="B714" s="70"/>
      <c r="D714" s="112"/>
      <c r="E714" s="138"/>
      <c r="F714" s="139"/>
      <c r="G714" s="138"/>
      <c r="H714" s="139"/>
      <c r="L714" s="140"/>
      <c r="M714" s="140"/>
      <c r="N714" s="141"/>
      <c r="O714" s="142"/>
    </row>
    <row r="715" spans="1:15" ht="94.5" customHeight="1" x14ac:dyDescent="0.3">
      <c r="D715" s="112"/>
      <c r="E715" s="138"/>
      <c r="F715" s="139"/>
      <c r="G715" s="138"/>
      <c r="H715" s="139"/>
      <c r="L715" s="140"/>
      <c r="M715" s="140"/>
      <c r="N715" s="141"/>
      <c r="O715" s="142"/>
    </row>
    <row r="716" spans="1:15" ht="31.8" thickBot="1" x14ac:dyDescent="0.3">
      <c r="A716" s="93"/>
      <c r="B716" s="143" t="s">
        <v>0</v>
      </c>
      <c r="C716" s="144" t="s">
        <v>1</v>
      </c>
      <c r="D716" s="143"/>
      <c r="E716" s="144" t="s">
        <v>198</v>
      </c>
      <c r="F716" s="145" t="s">
        <v>194</v>
      </c>
      <c r="G716" s="144" t="s">
        <v>196</v>
      </c>
      <c r="H716" s="145" t="s">
        <v>9</v>
      </c>
      <c r="I716" s="143" t="s">
        <v>2</v>
      </c>
      <c r="J716" s="144" t="s">
        <v>10</v>
      </c>
      <c r="K716" s="144" t="s">
        <v>13</v>
      </c>
      <c r="L716" s="144" t="s">
        <v>14</v>
      </c>
      <c r="M716" s="146" t="s">
        <v>15</v>
      </c>
      <c r="N716" s="147" t="s">
        <v>11</v>
      </c>
      <c r="O716" s="148" t="s">
        <v>12</v>
      </c>
    </row>
    <row r="717" spans="1:15" ht="15.6" thickBot="1" x14ac:dyDescent="0.3">
      <c r="A717" s="85">
        <v>1</v>
      </c>
      <c r="B717" s="405" t="s">
        <v>152</v>
      </c>
      <c r="C717" s="402" t="s">
        <v>153</v>
      </c>
      <c r="D717" s="87" t="s">
        <v>35</v>
      </c>
      <c r="E717" s="88">
        <v>5352.2</v>
      </c>
      <c r="F717" s="171">
        <v>46163</v>
      </c>
      <c r="G717" s="88">
        <v>5384.1</v>
      </c>
      <c r="H717" s="171">
        <v>46197</v>
      </c>
      <c r="I717" s="86">
        <f>G717-E717</f>
        <v>31.900000000000546</v>
      </c>
      <c r="J717" s="86"/>
      <c r="K717" s="86">
        <v>257</v>
      </c>
      <c r="L717" s="382">
        <v>66275.399999999994</v>
      </c>
      <c r="M717" s="90">
        <f t="shared" ref="M717:M723" si="182">I717*K717+J717</f>
        <v>8198.3000000001412</v>
      </c>
      <c r="N717" s="91">
        <v>0</v>
      </c>
      <c r="O717" s="92">
        <f t="shared" ref="O717:O718" si="183">M717-N717</f>
        <v>8198.3000000001412</v>
      </c>
    </row>
    <row r="718" spans="1:15" ht="15.6" thickBot="1" x14ac:dyDescent="0.3">
      <c r="A718" s="85"/>
      <c r="B718" s="406"/>
      <c r="C718" s="403"/>
      <c r="D718" s="94" t="s">
        <v>36</v>
      </c>
      <c r="E718" s="95">
        <v>616</v>
      </c>
      <c r="F718" s="171">
        <v>46163</v>
      </c>
      <c r="G718" s="95">
        <v>622</v>
      </c>
      <c r="H718" s="171">
        <v>46197</v>
      </c>
      <c r="I718" s="86">
        <f>G718-E718</f>
        <v>6</v>
      </c>
      <c r="J718" s="86">
        <v>1000</v>
      </c>
      <c r="K718" s="93">
        <v>1200</v>
      </c>
      <c r="L718" s="383"/>
      <c r="M718" s="90">
        <f t="shared" si="182"/>
        <v>8200</v>
      </c>
      <c r="N718" s="98"/>
      <c r="O718" s="92">
        <f t="shared" si="183"/>
        <v>8200</v>
      </c>
    </row>
    <row r="719" spans="1:15" ht="15.6" thickBot="1" x14ac:dyDescent="0.3">
      <c r="A719" s="85"/>
      <c r="B719" s="406"/>
      <c r="C719" s="403"/>
      <c r="D719" s="117" t="s">
        <v>37</v>
      </c>
      <c r="E719" s="118"/>
      <c r="F719" s="119"/>
      <c r="G719" s="118"/>
      <c r="H719" s="119"/>
      <c r="I719" s="120">
        <v>1</v>
      </c>
      <c r="J719" s="120">
        <v>0</v>
      </c>
      <c r="K719" s="120">
        <v>25000</v>
      </c>
      <c r="L719" s="383"/>
      <c r="M719" s="90">
        <f t="shared" si="182"/>
        <v>25000</v>
      </c>
      <c r="N719" s="99"/>
      <c r="O719" s="92">
        <f t="shared" ref="O719:O722" si="184">M719+L719-N719</f>
        <v>25000</v>
      </c>
    </row>
    <row r="720" spans="1:15" ht="15.6" thickBot="1" x14ac:dyDescent="0.3">
      <c r="A720" s="85"/>
      <c r="B720" s="406"/>
      <c r="C720" s="403"/>
      <c r="D720" s="117" t="s">
        <v>90</v>
      </c>
      <c r="E720" s="118"/>
      <c r="F720" s="119"/>
      <c r="G720" s="118"/>
      <c r="H720" s="119"/>
      <c r="I720" s="120"/>
      <c r="J720" s="120"/>
      <c r="K720" s="120">
        <v>0</v>
      </c>
      <c r="L720" s="383"/>
      <c r="M720" s="90">
        <f t="shared" si="182"/>
        <v>0</v>
      </c>
      <c r="N720" s="98"/>
      <c r="O720" s="92">
        <f t="shared" si="184"/>
        <v>0</v>
      </c>
    </row>
    <row r="721" spans="1:15" ht="15.6" thickBot="1" x14ac:dyDescent="0.3">
      <c r="A721" s="85"/>
      <c r="B721" s="406"/>
      <c r="C721" s="403"/>
      <c r="D721" s="94" t="s">
        <v>91</v>
      </c>
      <c r="E721" s="95"/>
      <c r="F721" s="96"/>
      <c r="G721" s="95"/>
      <c r="H721" s="96"/>
      <c r="I721" s="93">
        <v>1</v>
      </c>
      <c r="J721" s="93"/>
      <c r="K721" s="93">
        <v>2000</v>
      </c>
      <c r="L721" s="383"/>
      <c r="M721" s="90">
        <f t="shared" si="182"/>
        <v>2000</v>
      </c>
      <c r="N721" s="98"/>
      <c r="O721" s="92">
        <f t="shared" si="184"/>
        <v>2000</v>
      </c>
    </row>
    <row r="722" spans="1:15" ht="30.6" thickBot="1" x14ac:dyDescent="0.3">
      <c r="A722" s="85"/>
      <c r="B722" s="406"/>
      <c r="C722" s="403"/>
      <c r="D722" s="94" t="s">
        <v>92</v>
      </c>
      <c r="E722" s="95"/>
      <c r="F722" s="96"/>
      <c r="G722" s="95"/>
      <c r="H722" s="96"/>
      <c r="I722" s="93"/>
      <c r="J722" s="93"/>
      <c r="K722" s="93"/>
      <c r="L722" s="383"/>
      <c r="M722" s="90">
        <f t="shared" si="182"/>
        <v>0</v>
      </c>
      <c r="N722" s="98"/>
      <c r="O722" s="92">
        <f t="shared" si="184"/>
        <v>0</v>
      </c>
    </row>
    <row r="723" spans="1:15" x14ac:dyDescent="0.25">
      <c r="A723" s="85"/>
      <c r="B723" s="406"/>
      <c r="C723" s="403"/>
      <c r="D723" s="94" t="s">
        <v>189</v>
      </c>
      <c r="E723" s="95"/>
      <c r="F723" s="96"/>
      <c r="G723" s="95"/>
      <c r="H723" s="96"/>
      <c r="I723" s="93"/>
      <c r="J723" s="93"/>
      <c r="K723" s="93"/>
      <c r="L723" s="384"/>
      <c r="M723" s="90">
        <f t="shared" si="182"/>
        <v>0</v>
      </c>
      <c r="N723" s="98"/>
      <c r="O723" s="92">
        <f>L717</f>
        <v>66275.399999999994</v>
      </c>
    </row>
    <row r="724" spans="1:15" ht="16.2" thickBot="1" x14ac:dyDescent="0.35">
      <c r="A724" s="153"/>
      <c r="B724" s="407"/>
      <c r="C724" s="404"/>
      <c r="D724" s="93" t="s">
        <v>38</v>
      </c>
      <c r="E724" s="95"/>
      <c r="F724" s="96"/>
      <c r="G724" s="95"/>
      <c r="H724" s="96"/>
      <c r="I724" s="93"/>
      <c r="J724" s="93"/>
      <c r="K724" s="93"/>
      <c r="L724" s="97"/>
      <c r="M724" s="127"/>
      <c r="N724" s="128"/>
      <c r="O724" s="107">
        <f>SUM(O717:O723)</f>
        <v>109673.70000000013</v>
      </c>
    </row>
    <row r="725" spans="1:15" x14ac:dyDescent="0.25">
      <c r="A725" s="153"/>
      <c r="B725" s="408"/>
      <c r="C725" s="408"/>
      <c r="D725" s="408"/>
      <c r="E725" s="408"/>
      <c r="F725" s="408"/>
      <c r="G725" s="408"/>
      <c r="H725" s="408"/>
      <c r="I725" s="408"/>
      <c r="J725" s="408"/>
      <c r="K725" s="408"/>
      <c r="L725" s="408"/>
      <c r="M725" s="408"/>
      <c r="N725" s="408"/>
      <c r="O725" s="408"/>
    </row>
    <row r="726" spans="1:15" ht="31.8" thickBot="1" x14ac:dyDescent="0.3">
      <c r="A726" s="93"/>
      <c r="B726" s="143" t="s">
        <v>0</v>
      </c>
      <c r="C726" s="144" t="s">
        <v>1</v>
      </c>
      <c r="D726" s="143"/>
      <c r="E726" s="144" t="s">
        <v>198</v>
      </c>
      <c r="F726" s="145" t="s">
        <v>194</v>
      </c>
      <c r="G726" s="144" t="s">
        <v>196</v>
      </c>
      <c r="H726" s="145" t="s">
        <v>9</v>
      </c>
      <c r="I726" s="143" t="s">
        <v>2</v>
      </c>
      <c r="J726" s="144" t="s">
        <v>10</v>
      </c>
      <c r="K726" s="144" t="s">
        <v>13</v>
      </c>
      <c r="L726" s="144" t="s">
        <v>14</v>
      </c>
      <c r="M726" s="146" t="s">
        <v>15</v>
      </c>
      <c r="N726" s="147" t="s">
        <v>11</v>
      </c>
      <c r="O726" s="148" t="s">
        <v>12</v>
      </c>
    </row>
    <row r="727" spans="1:15" ht="15.6" thickBot="1" x14ac:dyDescent="0.3">
      <c r="A727" s="85">
        <v>1</v>
      </c>
      <c r="B727" s="405" t="s">
        <v>154</v>
      </c>
      <c r="C727" s="392">
        <v>1206</v>
      </c>
      <c r="D727" s="87" t="s">
        <v>35</v>
      </c>
      <c r="E727" s="88">
        <v>3762.7</v>
      </c>
      <c r="F727" s="171">
        <v>46163</v>
      </c>
      <c r="G727" s="88">
        <v>3939.7</v>
      </c>
      <c r="H727" s="171">
        <v>46197</v>
      </c>
      <c r="I727" s="86">
        <f>G727-E727</f>
        <v>177</v>
      </c>
      <c r="J727" s="86"/>
      <c r="K727" s="86">
        <v>257</v>
      </c>
      <c r="L727" s="382">
        <v>0</v>
      </c>
      <c r="M727" s="90">
        <f t="shared" ref="M727:M733" si="185">I727*K727+J727</f>
        <v>45489</v>
      </c>
      <c r="N727" s="91">
        <v>0</v>
      </c>
      <c r="O727" s="92">
        <f t="shared" ref="O727:O728" si="186">M727-N727</f>
        <v>45489</v>
      </c>
    </row>
    <row r="728" spans="1:15" ht="15.6" thickBot="1" x14ac:dyDescent="0.3">
      <c r="A728" s="85"/>
      <c r="B728" s="406"/>
      <c r="C728" s="393"/>
      <c r="D728" s="94" t="s">
        <v>36</v>
      </c>
      <c r="E728" s="95">
        <v>238</v>
      </c>
      <c r="F728" s="171">
        <v>46163</v>
      </c>
      <c r="G728" s="95">
        <v>251</v>
      </c>
      <c r="H728" s="171">
        <v>46197</v>
      </c>
      <c r="I728" s="86">
        <f>G728-E728</f>
        <v>13</v>
      </c>
      <c r="J728" s="86">
        <v>1000</v>
      </c>
      <c r="K728" s="93">
        <v>1200</v>
      </c>
      <c r="L728" s="383"/>
      <c r="M728" s="90">
        <f t="shared" si="185"/>
        <v>16600</v>
      </c>
      <c r="N728" s="98"/>
      <c r="O728" s="92">
        <f t="shared" si="186"/>
        <v>16600</v>
      </c>
    </row>
    <row r="729" spans="1:15" ht="15.6" thickBot="1" x14ac:dyDescent="0.3">
      <c r="A729" s="85"/>
      <c r="B729" s="406"/>
      <c r="C729" s="393"/>
      <c r="D729" s="117" t="s">
        <v>37</v>
      </c>
      <c r="E729" s="118"/>
      <c r="F729" s="119"/>
      <c r="G729" s="118"/>
      <c r="H729" s="119"/>
      <c r="I729" s="120">
        <v>1</v>
      </c>
      <c r="J729" s="120"/>
      <c r="K729" s="120">
        <v>25000</v>
      </c>
      <c r="L729" s="383"/>
      <c r="M729" s="90">
        <f t="shared" si="185"/>
        <v>25000</v>
      </c>
      <c r="N729" s="99"/>
      <c r="O729" s="92">
        <f t="shared" ref="O729:O732" si="187">M729+L729-N729</f>
        <v>25000</v>
      </c>
    </row>
    <row r="730" spans="1:15" ht="15.6" thickBot="1" x14ac:dyDescent="0.3">
      <c r="A730" s="85"/>
      <c r="B730" s="406"/>
      <c r="C730" s="393"/>
      <c r="D730" s="94" t="s">
        <v>90</v>
      </c>
      <c r="E730" s="95"/>
      <c r="F730" s="96"/>
      <c r="G730" s="95"/>
      <c r="H730" s="96"/>
      <c r="I730" s="93"/>
      <c r="J730" s="93"/>
      <c r="K730" s="93">
        <v>0</v>
      </c>
      <c r="L730" s="383"/>
      <c r="M730" s="90">
        <f t="shared" si="185"/>
        <v>0</v>
      </c>
      <c r="N730" s="98"/>
      <c r="O730" s="92">
        <f t="shared" si="187"/>
        <v>0</v>
      </c>
    </row>
    <row r="731" spans="1:15" ht="15.6" thickBot="1" x14ac:dyDescent="0.3">
      <c r="A731" s="85"/>
      <c r="B731" s="406"/>
      <c r="C731" s="393"/>
      <c r="D731" s="94" t="s">
        <v>91</v>
      </c>
      <c r="E731" s="95"/>
      <c r="F731" s="96"/>
      <c r="G731" s="95"/>
      <c r="H731" s="96"/>
      <c r="I731" s="93">
        <v>1</v>
      </c>
      <c r="J731" s="93"/>
      <c r="K731" s="93">
        <v>2000</v>
      </c>
      <c r="L731" s="383"/>
      <c r="M731" s="90">
        <f t="shared" si="185"/>
        <v>2000</v>
      </c>
      <c r="N731" s="98"/>
      <c r="O731" s="92">
        <f t="shared" si="187"/>
        <v>2000</v>
      </c>
    </row>
    <row r="732" spans="1:15" ht="30.6" thickBot="1" x14ac:dyDescent="0.3">
      <c r="A732" s="85"/>
      <c r="B732" s="406"/>
      <c r="C732" s="393"/>
      <c r="D732" s="94" t="s">
        <v>92</v>
      </c>
      <c r="E732" s="95"/>
      <c r="F732" s="96"/>
      <c r="G732" s="95"/>
      <c r="H732" s="96"/>
      <c r="I732" s="93"/>
      <c r="J732" s="93"/>
      <c r="K732" s="93"/>
      <c r="L732" s="383"/>
      <c r="M732" s="90">
        <f t="shared" si="185"/>
        <v>0</v>
      </c>
      <c r="N732" s="98"/>
      <c r="O732" s="92">
        <f t="shared" si="187"/>
        <v>0</v>
      </c>
    </row>
    <row r="733" spans="1:15" x14ac:dyDescent="0.25">
      <c r="A733" s="85"/>
      <c r="B733" s="406"/>
      <c r="C733" s="393"/>
      <c r="D733" s="94" t="s">
        <v>189</v>
      </c>
      <c r="E733" s="95"/>
      <c r="F733" s="96"/>
      <c r="G733" s="95"/>
      <c r="H733" s="96"/>
      <c r="I733" s="93"/>
      <c r="J733" s="93"/>
      <c r="K733" s="93"/>
      <c r="L733" s="384"/>
      <c r="M733" s="90">
        <f t="shared" si="185"/>
        <v>0</v>
      </c>
      <c r="N733" s="98"/>
      <c r="O733" s="92">
        <f>L727</f>
        <v>0</v>
      </c>
    </row>
    <row r="734" spans="1:15" ht="16.2" thickBot="1" x14ac:dyDescent="0.35">
      <c r="A734" s="93"/>
      <c r="B734" s="407"/>
      <c r="C734" s="394"/>
      <c r="D734" s="123" t="s">
        <v>38</v>
      </c>
      <c r="E734" s="124"/>
      <c r="F734" s="125"/>
      <c r="G734" s="124"/>
      <c r="H734" s="125"/>
      <c r="I734" s="126"/>
      <c r="J734" s="126"/>
      <c r="K734" s="126"/>
      <c r="L734" s="127"/>
      <c r="M734" s="127"/>
      <c r="N734" s="128"/>
      <c r="O734" s="107">
        <f>SUM(O727:O733)</f>
        <v>89089</v>
      </c>
    </row>
    <row r="745" spans="1:15" ht="99.75" customHeight="1" x14ac:dyDescent="0.25"/>
    <row r="746" spans="1:15" ht="31.8" thickBot="1" x14ac:dyDescent="0.3">
      <c r="A746" s="93"/>
      <c r="B746" s="143" t="s">
        <v>0</v>
      </c>
      <c r="C746" s="144" t="s">
        <v>1</v>
      </c>
      <c r="D746" s="143"/>
      <c r="E746" s="144" t="s">
        <v>198</v>
      </c>
      <c r="F746" s="145" t="s">
        <v>194</v>
      </c>
      <c r="G746" s="144" t="s">
        <v>196</v>
      </c>
      <c r="H746" s="145" t="s">
        <v>9</v>
      </c>
      <c r="I746" s="143" t="s">
        <v>2</v>
      </c>
      <c r="J746" s="144" t="s">
        <v>10</v>
      </c>
      <c r="K746" s="144" t="s">
        <v>13</v>
      </c>
      <c r="L746" s="144" t="s">
        <v>14</v>
      </c>
      <c r="M746" s="146" t="s">
        <v>15</v>
      </c>
      <c r="N746" s="147" t="s">
        <v>11</v>
      </c>
      <c r="O746" s="148" t="s">
        <v>12</v>
      </c>
    </row>
    <row r="747" spans="1:15" ht="15.6" thickBot="1" x14ac:dyDescent="0.3">
      <c r="A747" s="85">
        <v>1</v>
      </c>
      <c r="B747" s="398" t="s">
        <v>155</v>
      </c>
      <c r="C747" s="400">
        <v>1301</v>
      </c>
      <c r="D747" s="87" t="s">
        <v>35</v>
      </c>
      <c r="E747" s="88">
        <v>298.7</v>
      </c>
      <c r="F747" s="171">
        <v>46163</v>
      </c>
      <c r="G747" s="88">
        <v>298.7</v>
      </c>
      <c r="H747" s="171">
        <v>46197</v>
      </c>
      <c r="I747" s="86">
        <f>G747-E747</f>
        <v>0</v>
      </c>
      <c r="J747" s="86"/>
      <c r="K747" s="86">
        <v>257</v>
      </c>
      <c r="L747" s="382">
        <v>56.4</v>
      </c>
      <c r="M747" s="90">
        <f t="shared" ref="M747:M753" si="188">I747*K747+J747</f>
        <v>0</v>
      </c>
      <c r="N747" s="91">
        <v>0</v>
      </c>
      <c r="O747" s="92">
        <f t="shared" ref="O747:O748" si="189">M747-N747</f>
        <v>0</v>
      </c>
    </row>
    <row r="748" spans="1:15" ht="15.6" thickBot="1" x14ac:dyDescent="0.3">
      <c r="A748" s="85"/>
      <c r="B748" s="399"/>
      <c r="C748" s="401"/>
      <c r="D748" s="94" t="s">
        <v>36</v>
      </c>
      <c r="E748" s="95">
        <v>2</v>
      </c>
      <c r="F748" s="171">
        <v>46163</v>
      </c>
      <c r="G748" s="95">
        <v>2</v>
      </c>
      <c r="H748" s="171">
        <v>46197</v>
      </c>
      <c r="I748" s="86">
        <f>G748-E748</f>
        <v>0</v>
      </c>
      <c r="J748" s="86">
        <v>0</v>
      </c>
      <c r="K748" s="93">
        <v>1200</v>
      </c>
      <c r="L748" s="383"/>
      <c r="M748" s="90">
        <f t="shared" si="188"/>
        <v>0</v>
      </c>
      <c r="N748" s="98"/>
      <c r="O748" s="92">
        <f t="shared" si="189"/>
        <v>0</v>
      </c>
    </row>
    <row r="749" spans="1:15" ht="15.6" thickBot="1" x14ac:dyDescent="0.3">
      <c r="A749" s="85"/>
      <c r="B749" s="399"/>
      <c r="C749" s="401"/>
      <c r="D749" s="117" t="s">
        <v>37</v>
      </c>
      <c r="E749" s="118"/>
      <c r="F749" s="119"/>
      <c r="G749" s="118"/>
      <c r="H749" s="119"/>
      <c r="I749" s="120">
        <v>1</v>
      </c>
      <c r="J749" s="120"/>
      <c r="K749" s="120">
        <v>15000</v>
      </c>
      <c r="L749" s="383"/>
      <c r="M749" s="90">
        <f t="shared" si="188"/>
        <v>15000</v>
      </c>
      <c r="N749" s="99"/>
      <c r="O749" s="92">
        <f t="shared" ref="O749:O752" si="190">M749+L749-N749</f>
        <v>15000</v>
      </c>
    </row>
    <row r="750" spans="1:15" ht="15.6" thickBot="1" x14ac:dyDescent="0.3">
      <c r="A750" s="85"/>
      <c r="B750" s="399"/>
      <c r="C750" s="401"/>
      <c r="D750" s="94" t="s">
        <v>90</v>
      </c>
      <c r="E750" s="95"/>
      <c r="F750" s="96"/>
      <c r="G750" s="95"/>
      <c r="H750" s="96"/>
      <c r="I750" s="93"/>
      <c r="J750" s="93"/>
      <c r="K750" s="93">
        <v>0</v>
      </c>
      <c r="L750" s="383"/>
      <c r="M750" s="90">
        <f t="shared" si="188"/>
        <v>0</v>
      </c>
      <c r="N750" s="98"/>
      <c r="O750" s="92">
        <f t="shared" si="190"/>
        <v>0</v>
      </c>
    </row>
    <row r="751" spans="1:15" ht="15.6" thickBot="1" x14ac:dyDescent="0.3">
      <c r="A751" s="85"/>
      <c r="B751" s="399"/>
      <c r="C751" s="401"/>
      <c r="D751" s="94" t="s">
        <v>91</v>
      </c>
      <c r="E751" s="95"/>
      <c r="F751" s="96"/>
      <c r="G751" s="95"/>
      <c r="H751" s="96"/>
      <c r="I751" s="93">
        <v>0</v>
      </c>
      <c r="J751" s="93"/>
      <c r="K751" s="93">
        <v>2000</v>
      </c>
      <c r="L751" s="383"/>
      <c r="M751" s="90">
        <f t="shared" si="188"/>
        <v>0</v>
      </c>
      <c r="N751" s="98"/>
      <c r="O751" s="92">
        <f t="shared" si="190"/>
        <v>0</v>
      </c>
    </row>
    <row r="752" spans="1:15" ht="30.6" thickBot="1" x14ac:dyDescent="0.3">
      <c r="A752" s="85"/>
      <c r="B752" s="399"/>
      <c r="C752" s="401"/>
      <c r="D752" s="94" t="s">
        <v>92</v>
      </c>
      <c r="E752" s="95"/>
      <c r="F752" s="96"/>
      <c r="G752" s="95"/>
      <c r="H752" s="96"/>
      <c r="I752" s="93">
        <v>0</v>
      </c>
      <c r="J752" s="93"/>
      <c r="K752" s="93">
        <v>0</v>
      </c>
      <c r="L752" s="383"/>
      <c r="M752" s="90">
        <f t="shared" si="188"/>
        <v>0</v>
      </c>
      <c r="N752" s="98"/>
      <c r="O752" s="92">
        <f t="shared" si="190"/>
        <v>0</v>
      </c>
    </row>
    <row r="753" spans="1:15" x14ac:dyDescent="0.25">
      <c r="A753" s="85"/>
      <c r="B753" s="399"/>
      <c r="C753" s="401"/>
      <c r="D753" s="94" t="s">
        <v>189</v>
      </c>
      <c r="E753" s="95"/>
      <c r="F753" s="96"/>
      <c r="G753" s="95"/>
      <c r="H753" s="96"/>
      <c r="I753" s="93"/>
      <c r="J753" s="93"/>
      <c r="K753" s="93"/>
      <c r="L753" s="384"/>
      <c r="M753" s="90">
        <f t="shared" si="188"/>
        <v>0</v>
      </c>
      <c r="N753" s="98"/>
      <c r="O753" s="92">
        <f>L747</f>
        <v>56.4</v>
      </c>
    </row>
    <row r="754" spans="1:15" ht="16.2" thickBot="1" x14ac:dyDescent="0.35">
      <c r="B754" s="399"/>
      <c r="C754" s="401"/>
      <c r="D754" s="123" t="s">
        <v>38</v>
      </c>
      <c r="E754" s="124"/>
      <c r="F754" s="125"/>
      <c r="G754" s="124"/>
      <c r="H754" s="125"/>
      <c r="I754" s="126"/>
      <c r="J754" s="126"/>
      <c r="K754" s="126"/>
      <c r="L754" s="127"/>
      <c r="M754" s="127"/>
      <c r="N754" s="128"/>
      <c r="O754" s="107">
        <f>SUM(O747:O753)</f>
        <v>15056.4</v>
      </c>
    </row>
    <row r="755" spans="1:15" ht="31.8" thickBot="1" x14ac:dyDescent="0.3">
      <c r="A755" s="93"/>
      <c r="B755" s="143" t="s">
        <v>0</v>
      </c>
      <c r="C755" s="144" t="s">
        <v>1</v>
      </c>
      <c r="D755" s="144"/>
      <c r="E755" s="144" t="s">
        <v>198</v>
      </c>
      <c r="F755" s="145" t="s">
        <v>194</v>
      </c>
      <c r="G755" s="144" t="s">
        <v>196</v>
      </c>
      <c r="H755" s="145" t="s">
        <v>9</v>
      </c>
      <c r="I755" s="143" t="s">
        <v>2</v>
      </c>
      <c r="J755" s="144" t="s">
        <v>10</v>
      </c>
      <c r="K755" s="144" t="s">
        <v>13</v>
      </c>
      <c r="L755" s="144" t="s">
        <v>14</v>
      </c>
      <c r="M755" s="146" t="s">
        <v>15</v>
      </c>
      <c r="N755" s="147" t="s">
        <v>11</v>
      </c>
      <c r="O755" s="148" t="s">
        <v>12</v>
      </c>
    </row>
    <row r="756" spans="1:15" ht="15.6" thickBot="1" x14ac:dyDescent="0.3">
      <c r="A756" s="85">
        <v>1</v>
      </c>
      <c r="B756" s="398" t="s">
        <v>156</v>
      </c>
      <c r="C756" s="400">
        <v>1303</v>
      </c>
      <c r="D756" s="87" t="s">
        <v>35</v>
      </c>
      <c r="E756" s="88">
        <v>807.8</v>
      </c>
      <c r="F756" s="89">
        <v>46163</v>
      </c>
      <c r="G756" s="88">
        <v>1094.3</v>
      </c>
      <c r="H756" s="89">
        <v>46197</v>
      </c>
      <c r="I756" s="343">
        <f>G756-E756</f>
        <v>286.5</v>
      </c>
      <c r="J756" s="86"/>
      <c r="K756" s="86">
        <v>257</v>
      </c>
      <c r="L756" s="382">
        <v>11.7</v>
      </c>
      <c r="M756" s="90">
        <f t="shared" ref="M756:M762" si="191">I756*K756+J756</f>
        <v>73630.5</v>
      </c>
      <c r="N756" s="91">
        <v>0</v>
      </c>
      <c r="O756" s="92">
        <f t="shared" ref="O756:O757" si="192">M756-N756</f>
        <v>73630.5</v>
      </c>
    </row>
    <row r="757" spans="1:15" ht="15.6" thickBot="1" x14ac:dyDescent="0.3">
      <c r="A757" s="85"/>
      <c r="B757" s="399"/>
      <c r="C757" s="401"/>
      <c r="D757" s="94" t="s">
        <v>36</v>
      </c>
      <c r="E757" s="95">
        <v>137</v>
      </c>
      <c r="F757" s="89">
        <v>46163</v>
      </c>
      <c r="G757" s="95">
        <v>157</v>
      </c>
      <c r="H757" s="89">
        <v>46197</v>
      </c>
      <c r="I757" s="86">
        <f>G757-E757</f>
        <v>20</v>
      </c>
      <c r="J757" s="86">
        <v>1000</v>
      </c>
      <c r="K757" s="93">
        <v>1200</v>
      </c>
      <c r="L757" s="383"/>
      <c r="M757" s="90">
        <f t="shared" si="191"/>
        <v>25000</v>
      </c>
      <c r="N757" s="98"/>
      <c r="O757" s="92">
        <f t="shared" si="192"/>
        <v>25000</v>
      </c>
    </row>
    <row r="758" spans="1:15" ht="15.6" thickBot="1" x14ac:dyDescent="0.3">
      <c r="A758" s="85"/>
      <c r="B758" s="399"/>
      <c r="C758" s="401"/>
      <c r="D758" s="117" t="s">
        <v>37</v>
      </c>
      <c r="E758" s="118"/>
      <c r="F758" s="119"/>
      <c r="G758" s="118"/>
      <c r="H758" s="119"/>
      <c r="I758" s="120">
        <v>1</v>
      </c>
      <c r="J758" s="120"/>
      <c r="K758" s="120">
        <v>25000</v>
      </c>
      <c r="L758" s="383"/>
      <c r="M758" s="90">
        <f t="shared" si="191"/>
        <v>25000</v>
      </c>
      <c r="N758" s="99"/>
      <c r="O758" s="92">
        <f t="shared" ref="O758:O761" si="193">M758+L758-N758</f>
        <v>25000</v>
      </c>
    </row>
    <row r="759" spans="1:15" ht="15.6" thickBot="1" x14ac:dyDescent="0.3">
      <c r="A759" s="85"/>
      <c r="B759" s="399"/>
      <c r="C759" s="401"/>
      <c r="D759" s="94" t="s">
        <v>90</v>
      </c>
      <c r="E759" s="95"/>
      <c r="F759" s="96"/>
      <c r="G759" s="95"/>
      <c r="H759" s="96"/>
      <c r="I759" s="93"/>
      <c r="J759" s="93"/>
      <c r="K759" s="93">
        <v>0</v>
      </c>
      <c r="L759" s="383"/>
      <c r="M759" s="90">
        <f t="shared" si="191"/>
        <v>0</v>
      </c>
      <c r="N759" s="98"/>
      <c r="O759" s="92">
        <f t="shared" si="193"/>
        <v>0</v>
      </c>
    </row>
    <row r="760" spans="1:15" ht="15.6" thickBot="1" x14ac:dyDescent="0.3">
      <c r="A760" s="85"/>
      <c r="B760" s="399"/>
      <c r="C760" s="401"/>
      <c r="D760" s="94" t="s">
        <v>91</v>
      </c>
      <c r="E760" s="95"/>
      <c r="F760" s="96"/>
      <c r="G760" s="95"/>
      <c r="H760" s="96"/>
      <c r="I760" s="93">
        <v>1</v>
      </c>
      <c r="J760" s="93"/>
      <c r="K760" s="93">
        <v>2000</v>
      </c>
      <c r="L760" s="383"/>
      <c r="M760" s="90">
        <f t="shared" si="191"/>
        <v>2000</v>
      </c>
      <c r="N760" s="98"/>
      <c r="O760" s="92">
        <f t="shared" si="193"/>
        <v>2000</v>
      </c>
    </row>
    <row r="761" spans="1:15" ht="30.6" thickBot="1" x14ac:dyDescent="0.3">
      <c r="A761" s="85"/>
      <c r="B761" s="399"/>
      <c r="C761" s="401"/>
      <c r="D761" s="94" t="s">
        <v>92</v>
      </c>
      <c r="E761" s="95"/>
      <c r="F761" s="96"/>
      <c r="G761" s="95"/>
      <c r="H761" s="96"/>
      <c r="I761" s="93">
        <v>0</v>
      </c>
      <c r="J761" s="93"/>
      <c r="K761" s="93">
        <v>0</v>
      </c>
      <c r="L761" s="383"/>
      <c r="M761" s="90">
        <f t="shared" si="191"/>
        <v>0</v>
      </c>
      <c r="N761" s="98"/>
      <c r="O761" s="92">
        <f t="shared" si="193"/>
        <v>0</v>
      </c>
    </row>
    <row r="762" spans="1:15" x14ac:dyDescent="0.25">
      <c r="A762" s="85"/>
      <c r="B762" s="399"/>
      <c r="C762" s="401"/>
      <c r="D762" s="94" t="s">
        <v>189</v>
      </c>
      <c r="E762" s="95"/>
      <c r="F762" s="96"/>
      <c r="G762" s="95"/>
      <c r="H762" s="96"/>
      <c r="I762" s="93"/>
      <c r="J762" s="93"/>
      <c r="K762" s="93"/>
      <c r="L762" s="384"/>
      <c r="M762" s="90">
        <f t="shared" si="191"/>
        <v>0</v>
      </c>
      <c r="N762" s="98"/>
      <c r="O762" s="92">
        <f>L756</f>
        <v>11.7</v>
      </c>
    </row>
    <row r="763" spans="1:15" ht="16.2" thickBot="1" x14ac:dyDescent="0.35">
      <c r="B763" s="399"/>
      <c r="C763" s="401"/>
      <c r="D763" s="123" t="s">
        <v>38</v>
      </c>
      <c r="E763" s="124"/>
      <c r="F763" s="125"/>
      <c r="G763" s="124"/>
      <c r="H763" s="125"/>
      <c r="I763" s="126"/>
      <c r="J763" s="126"/>
      <c r="K763" s="126"/>
      <c r="L763" s="127"/>
      <c r="M763" s="127"/>
      <c r="N763" s="128"/>
      <c r="O763" s="107">
        <f>SUM(O756:O762)</f>
        <v>125642.2</v>
      </c>
    </row>
    <row r="764" spans="1:15" ht="15.6" x14ac:dyDescent="0.3">
      <c r="B764" s="70"/>
      <c r="C764" s="111"/>
      <c r="D764" s="112"/>
      <c r="E764" s="138"/>
      <c r="F764" s="139"/>
      <c r="G764" s="138"/>
      <c r="H764" s="139"/>
      <c r="L764" s="140"/>
      <c r="M764" s="140"/>
      <c r="N764" s="141"/>
      <c r="O764" s="142"/>
    </row>
    <row r="765" spans="1:15" ht="15.6" x14ac:dyDescent="0.3">
      <c r="B765" s="70"/>
      <c r="C765" s="111"/>
      <c r="D765" s="112"/>
      <c r="E765" s="138"/>
      <c r="F765" s="139"/>
      <c r="G765" s="138"/>
      <c r="H765" s="139"/>
      <c r="L765" s="140"/>
      <c r="M765" s="140"/>
      <c r="N765" s="141"/>
      <c r="O765" s="142"/>
    </row>
    <row r="766" spans="1:15" ht="15.6" x14ac:dyDescent="0.3">
      <c r="B766" s="70"/>
      <c r="C766" s="111"/>
      <c r="D766" s="112"/>
      <c r="E766" s="138"/>
      <c r="F766" s="139"/>
      <c r="G766" s="138"/>
      <c r="H766" s="139"/>
      <c r="L766" s="140"/>
      <c r="M766" s="140"/>
      <c r="N766" s="141"/>
      <c r="O766" s="142"/>
    </row>
    <row r="767" spans="1:15" ht="15.6" x14ac:dyDescent="0.3">
      <c r="B767" s="70"/>
      <c r="C767" s="111"/>
      <c r="D767" s="112"/>
      <c r="E767" s="138"/>
      <c r="F767" s="139"/>
      <c r="G767" s="138"/>
      <c r="H767" s="139"/>
      <c r="L767" s="140"/>
      <c r="M767" s="140"/>
      <c r="N767" s="141"/>
      <c r="O767" s="142"/>
    </row>
    <row r="768" spans="1:15" ht="15.6" x14ac:dyDescent="0.3">
      <c r="B768" s="70"/>
      <c r="C768" s="111"/>
      <c r="D768" s="112"/>
      <c r="E768" s="138"/>
      <c r="F768" s="139"/>
      <c r="G768" s="138"/>
      <c r="H768" s="139"/>
      <c r="L768" s="140"/>
      <c r="M768" s="140"/>
      <c r="N768" s="141"/>
      <c r="O768" s="142"/>
    </row>
    <row r="769" spans="1:15" ht="15.6" x14ac:dyDescent="0.3">
      <c r="B769" s="70"/>
      <c r="C769" s="111"/>
      <c r="D769" s="112"/>
      <c r="E769" s="138"/>
      <c r="F769" s="139"/>
      <c r="G769" s="138"/>
      <c r="H769" s="139"/>
      <c r="L769" s="140"/>
      <c r="M769" s="140"/>
      <c r="N769" s="141"/>
      <c r="O769" s="142"/>
    </row>
    <row r="770" spans="1:15" ht="15.6" x14ac:dyDescent="0.3">
      <c r="B770" s="70"/>
      <c r="C770" s="111"/>
      <c r="D770" s="112"/>
      <c r="E770" s="138"/>
      <c r="F770" s="139"/>
      <c r="G770" s="138"/>
      <c r="H770" s="139"/>
      <c r="L770" s="140"/>
      <c r="M770" s="140"/>
      <c r="N770" s="141"/>
      <c r="O770" s="142"/>
    </row>
    <row r="771" spans="1:15" ht="31.8" thickBot="1" x14ac:dyDescent="0.3">
      <c r="A771" s="93"/>
      <c r="B771" s="143" t="s">
        <v>0</v>
      </c>
      <c r="C771" s="144" t="s">
        <v>1</v>
      </c>
      <c r="D771" s="143"/>
      <c r="E771" s="144" t="s">
        <v>198</v>
      </c>
      <c r="F771" s="145" t="s">
        <v>194</v>
      </c>
      <c r="G771" s="144" t="s">
        <v>196</v>
      </c>
      <c r="H771" s="145" t="s">
        <v>9</v>
      </c>
      <c r="I771" s="143" t="s">
        <v>2</v>
      </c>
      <c r="J771" s="144" t="s">
        <v>10</v>
      </c>
      <c r="K771" s="144" t="s">
        <v>13</v>
      </c>
      <c r="L771" s="144" t="s">
        <v>14</v>
      </c>
      <c r="M771" s="146" t="s">
        <v>15</v>
      </c>
      <c r="N771" s="147" t="s">
        <v>11</v>
      </c>
      <c r="O771" s="148" t="s">
        <v>12</v>
      </c>
    </row>
    <row r="772" spans="1:15" ht="15.6" thickBot="1" x14ac:dyDescent="0.3">
      <c r="A772" s="85">
        <v>1</v>
      </c>
      <c r="B772" s="402" t="s">
        <v>157</v>
      </c>
      <c r="C772" s="392">
        <v>1304</v>
      </c>
      <c r="D772" s="87" t="s">
        <v>35</v>
      </c>
      <c r="E772" s="88">
        <v>836.2</v>
      </c>
      <c r="F772" s="171">
        <v>46163</v>
      </c>
      <c r="G772" s="88">
        <v>892.2</v>
      </c>
      <c r="H772" s="171">
        <v>46197</v>
      </c>
      <c r="I772" s="86">
        <f>G772-E772</f>
        <v>56</v>
      </c>
      <c r="J772" s="86"/>
      <c r="K772" s="86">
        <v>257</v>
      </c>
      <c r="L772" s="382">
        <v>80062.399999999994</v>
      </c>
      <c r="M772" s="90">
        <f t="shared" ref="M772:M778" si="194">I772*K772+J772</f>
        <v>14392</v>
      </c>
      <c r="N772" s="91">
        <v>0</v>
      </c>
      <c r="O772" s="92">
        <f t="shared" ref="O772:O773" si="195">M772-N772</f>
        <v>14392</v>
      </c>
    </row>
    <row r="773" spans="1:15" ht="15.6" thickBot="1" x14ac:dyDescent="0.3">
      <c r="A773" s="85"/>
      <c r="B773" s="403"/>
      <c r="C773" s="393"/>
      <c r="D773" s="94" t="s">
        <v>36</v>
      </c>
      <c r="E773" s="95">
        <v>259</v>
      </c>
      <c r="F773" s="171">
        <v>46163</v>
      </c>
      <c r="G773" s="95">
        <v>262</v>
      </c>
      <c r="H773" s="171">
        <v>46197</v>
      </c>
      <c r="I773" s="86">
        <f>G773-E773</f>
        <v>3</v>
      </c>
      <c r="J773" s="86">
        <v>1000</v>
      </c>
      <c r="K773" s="93">
        <v>1200</v>
      </c>
      <c r="L773" s="383"/>
      <c r="M773" s="90">
        <f t="shared" si="194"/>
        <v>4600</v>
      </c>
      <c r="N773" s="98"/>
      <c r="O773" s="92">
        <f t="shared" si="195"/>
        <v>4600</v>
      </c>
    </row>
    <row r="774" spans="1:15" ht="15.6" thickBot="1" x14ac:dyDescent="0.3">
      <c r="A774" s="85"/>
      <c r="B774" s="403"/>
      <c r="C774" s="393"/>
      <c r="D774" s="117" t="s">
        <v>37</v>
      </c>
      <c r="E774" s="118"/>
      <c r="F774" s="119"/>
      <c r="G774" s="118"/>
      <c r="H774" s="119"/>
      <c r="I774" s="120">
        <v>1</v>
      </c>
      <c r="J774" s="120"/>
      <c r="K774" s="120">
        <v>25000</v>
      </c>
      <c r="L774" s="383"/>
      <c r="M774" s="90">
        <f t="shared" si="194"/>
        <v>25000</v>
      </c>
      <c r="N774" s="99"/>
      <c r="O774" s="92">
        <f t="shared" ref="O774:O777" si="196">M774+L774-N774</f>
        <v>25000</v>
      </c>
    </row>
    <row r="775" spans="1:15" ht="15.6" thickBot="1" x14ac:dyDescent="0.3">
      <c r="A775" s="85"/>
      <c r="B775" s="403"/>
      <c r="C775" s="393"/>
      <c r="D775" s="94" t="s">
        <v>90</v>
      </c>
      <c r="E775" s="95"/>
      <c r="F775" s="96"/>
      <c r="G775" s="95"/>
      <c r="H775" s="96"/>
      <c r="I775" s="93"/>
      <c r="J775" s="93"/>
      <c r="K775" s="93">
        <v>0</v>
      </c>
      <c r="L775" s="383"/>
      <c r="M775" s="90">
        <f t="shared" si="194"/>
        <v>0</v>
      </c>
      <c r="N775" s="98"/>
      <c r="O775" s="92">
        <f t="shared" si="196"/>
        <v>0</v>
      </c>
    </row>
    <row r="776" spans="1:15" ht="15.6" thickBot="1" x14ac:dyDescent="0.3">
      <c r="A776" s="85"/>
      <c r="B776" s="403"/>
      <c r="C776" s="393"/>
      <c r="D776" s="94" t="s">
        <v>91</v>
      </c>
      <c r="E776" s="95"/>
      <c r="F776" s="96"/>
      <c r="G776" s="95"/>
      <c r="H776" s="96"/>
      <c r="I776" s="93">
        <v>1</v>
      </c>
      <c r="J776" s="93"/>
      <c r="K776" s="93">
        <v>2000</v>
      </c>
      <c r="L776" s="383"/>
      <c r="M776" s="90">
        <f t="shared" si="194"/>
        <v>2000</v>
      </c>
      <c r="N776" s="98"/>
      <c r="O776" s="92">
        <f t="shared" si="196"/>
        <v>2000</v>
      </c>
    </row>
    <row r="777" spans="1:15" ht="30.6" thickBot="1" x14ac:dyDescent="0.3">
      <c r="A777" s="85"/>
      <c r="B777" s="403"/>
      <c r="C777" s="393"/>
      <c r="D777" s="94" t="s">
        <v>92</v>
      </c>
      <c r="E777" s="95"/>
      <c r="F777" s="96"/>
      <c r="G777" s="95"/>
      <c r="H777" s="96"/>
      <c r="I777" s="93">
        <v>0</v>
      </c>
      <c r="J777" s="93"/>
      <c r="K777" s="93">
        <v>0</v>
      </c>
      <c r="L777" s="383"/>
      <c r="M777" s="90">
        <f t="shared" si="194"/>
        <v>0</v>
      </c>
      <c r="N777" s="98"/>
      <c r="O777" s="92">
        <f t="shared" si="196"/>
        <v>0</v>
      </c>
    </row>
    <row r="778" spans="1:15" x14ac:dyDescent="0.25">
      <c r="A778" s="85"/>
      <c r="B778" s="403"/>
      <c r="C778" s="393"/>
      <c r="D778" s="94" t="s">
        <v>189</v>
      </c>
      <c r="E778" s="95"/>
      <c r="F778" s="96"/>
      <c r="G778" s="95"/>
      <c r="H778" s="96"/>
      <c r="I778" s="93"/>
      <c r="J778" s="93"/>
      <c r="K778" s="93"/>
      <c r="L778" s="384"/>
      <c r="M778" s="90">
        <f t="shared" si="194"/>
        <v>0</v>
      </c>
      <c r="N778" s="98"/>
      <c r="O778" s="92">
        <f>L772</f>
        <v>80062.399999999994</v>
      </c>
    </row>
    <row r="779" spans="1:15" ht="16.2" thickBot="1" x14ac:dyDescent="0.35">
      <c r="B779" s="404"/>
      <c r="C779" s="394"/>
      <c r="D779" s="123" t="s">
        <v>38</v>
      </c>
      <c r="E779" s="124"/>
      <c r="F779" s="125"/>
      <c r="G779" s="124"/>
      <c r="H779" s="125"/>
      <c r="I779" s="126"/>
      <c r="J779" s="126"/>
      <c r="K779" s="126"/>
      <c r="L779" s="127"/>
      <c r="M779" s="127"/>
      <c r="N779" s="128"/>
      <c r="O779" s="107">
        <f>SUM(O772:O778)</f>
        <v>126054.39999999999</v>
      </c>
    </row>
    <row r="780" spans="1:15" ht="15.6" x14ac:dyDescent="0.3">
      <c r="B780" s="70"/>
      <c r="E780" s="138"/>
      <c r="F780" s="139"/>
      <c r="G780" s="138"/>
      <c r="H780" s="139"/>
      <c r="L780" s="140"/>
      <c r="M780" s="140"/>
      <c r="N780" s="141"/>
      <c r="O780" s="142"/>
    </row>
    <row r="781" spans="1:15" ht="15.6" x14ac:dyDescent="0.3">
      <c r="B781" s="70"/>
      <c r="E781" s="138"/>
      <c r="F781" s="139"/>
      <c r="G781" s="138"/>
      <c r="H781" s="139"/>
      <c r="L781" s="140"/>
      <c r="M781" s="140"/>
      <c r="N781" s="141"/>
      <c r="O781" s="142"/>
    </row>
    <row r="782" spans="1:15" ht="31.8" thickBot="1" x14ac:dyDescent="0.3">
      <c r="A782" s="93"/>
      <c r="B782" s="143" t="s">
        <v>0</v>
      </c>
      <c r="C782" s="144" t="s">
        <v>1</v>
      </c>
      <c r="D782" s="143"/>
      <c r="E782" s="144" t="s">
        <v>198</v>
      </c>
      <c r="F782" s="145" t="s">
        <v>194</v>
      </c>
      <c r="G782" s="144" t="s">
        <v>196</v>
      </c>
      <c r="H782" s="145" t="s">
        <v>9</v>
      </c>
      <c r="I782" s="143" t="s">
        <v>2</v>
      </c>
      <c r="J782" s="144" t="s">
        <v>10</v>
      </c>
      <c r="K782" s="144" t="s">
        <v>13</v>
      </c>
      <c r="L782" s="144" t="s">
        <v>14</v>
      </c>
      <c r="M782" s="146" t="s">
        <v>15</v>
      </c>
      <c r="N782" s="147" t="s">
        <v>11</v>
      </c>
      <c r="O782" s="148" t="s">
        <v>12</v>
      </c>
    </row>
    <row r="783" spans="1:15" ht="15.6" thickBot="1" x14ac:dyDescent="0.3">
      <c r="A783" s="85">
        <v>1</v>
      </c>
      <c r="B783" s="402" t="s">
        <v>158</v>
      </c>
      <c r="C783" s="392">
        <v>1306</v>
      </c>
      <c r="D783" s="87" t="s">
        <v>35</v>
      </c>
      <c r="E783" s="88">
        <v>73.2</v>
      </c>
      <c r="F783" s="89">
        <v>46163</v>
      </c>
      <c r="G783" s="88">
        <v>73.900000000000006</v>
      </c>
      <c r="H783" s="89">
        <v>46197</v>
      </c>
      <c r="I783" s="86">
        <f>G783-E783</f>
        <v>0.70000000000000284</v>
      </c>
      <c r="J783" s="86"/>
      <c r="K783" s="86">
        <v>257</v>
      </c>
      <c r="L783" s="382">
        <v>551566.4</v>
      </c>
      <c r="M783" s="90">
        <f t="shared" ref="M783:M789" si="197">I783*K783+J783</f>
        <v>179.90000000000072</v>
      </c>
      <c r="N783" s="91">
        <v>0</v>
      </c>
      <c r="O783" s="92">
        <f t="shared" ref="O783:O784" si="198">M783-N783</f>
        <v>179.90000000000072</v>
      </c>
    </row>
    <row r="784" spans="1:15" ht="15.6" thickBot="1" x14ac:dyDescent="0.3">
      <c r="A784" s="85"/>
      <c r="B784" s="403"/>
      <c r="C784" s="393"/>
      <c r="D784" s="330" t="s">
        <v>36</v>
      </c>
      <c r="E784" s="95">
        <v>2</v>
      </c>
      <c r="F784" s="89">
        <v>46163</v>
      </c>
      <c r="G784" s="95">
        <v>2</v>
      </c>
      <c r="H784" s="89">
        <v>46197</v>
      </c>
      <c r="I784" s="332">
        <f>G784-E784</f>
        <v>0</v>
      </c>
      <c r="J784" s="332">
        <v>0</v>
      </c>
      <c r="K784" s="331">
        <v>1200</v>
      </c>
      <c r="L784" s="383"/>
      <c r="M784" s="267">
        <f t="shared" si="197"/>
        <v>0</v>
      </c>
      <c r="N784" s="98"/>
      <c r="O784" s="92">
        <f t="shared" si="198"/>
        <v>0</v>
      </c>
    </row>
    <row r="785" spans="1:15" ht="15.6" thickBot="1" x14ac:dyDescent="0.3">
      <c r="A785" s="85"/>
      <c r="B785" s="403"/>
      <c r="C785" s="393"/>
      <c r="D785" s="117" t="s">
        <v>37</v>
      </c>
      <c r="E785" s="118"/>
      <c r="F785" s="119"/>
      <c r="G785" s="118"/>
      <c r="H785" s="119"/>
      <c r="I785" s="120">
        <v>1</v>
      </c>
      <c r="J785" s="120"/>
      <c r="K785" s="120">
        <v>25000</v>
      </c>
      <c r="L785" s="383"/>
      <c r="M785" s="90">
        <f t="shared" si="197"/>
        <v>25000</v>
      </c>
      <c r="N785" s="99"/>
      <c r="O785" s="92">
        <f t="shared" ref="O785:O788" si="199">M785+L785-N785</f>
        <v>25000</v>
      </c>
    </row>
    <row r="786" spans="1:15" ht="15.6" thickBot="1" x14ac:dyDescent="0.3">
      <c r="A786" s="85"/>
      <c r="B786" s="403"/>
      <c r="C786" s="393"/>
      <c r="D786" s="94" t="s">
        <v>90</v>
      </c>
      <c r="E786" s="95"/>
      <c r="F786" s="96"/>
      <c r="G786" s="95"/>
      <c r="H786" s="96"/>
      <c r="I786" s="93"/>
      <c r="J786" s="93"/>
      <c r="K786" s="93">
        <v>0</v>
      </c>
      <c r="L786" s="383"/>
      <c r="M786" s="90">
        <f t="shared" si="197"/>
        <v>0</v>
      </c>
      <c r="N786" s="98"/>
      <c r="O786" s="92">
        <f t="shared" si="199"/>
        <v>0</v>
      </c>
    </row>
    <row r="787" spans="1:15" ht="15.6" thickBot="1" x14ac:dyDescent="0.3">
      <c r="A787" s="85"/>
      <c r="B787" s="403"/>
      <c r="C787" s="393"/>
      <c r="D787" s="94" t="s">
        <v>91</v>
      </c>
      <c r="E787" s="95"/>
      <c r="F787" s="96"/>
      <c r="G787" s="95"/>
      <c r="H787" s="96"/>
      <c r="I787" s="93">
        <v>1</v>
      </c>
      <c r="J787" s="93"/>
      <c r="K787" s="93">
        <v>2000</v>
      </c>
      <c r="L787" s="383"/>
      <c r="M787" s="90">
        <f t="shared" si="197"/>
        <v>2000</v>
      </c>
      <c r="N787" s="98"/>
      <c r="O787" s="92">
        <f t="shared" si="199"/>
        <v>2000</v>
      </c>
    </row>
    <row r="788" spans="1:15" ht="30.6" thickBot="1" x14ac:dyDescent="0.3">
      <c r="A788" s="85"/>
      <c r="B788" s="403"/>
      <c r="C788" s="393"/>
      <c r="D788" s="94" t="s">
        <v>92</v>
      </c>
      <c r="E788" s="95"/>
      <c r="F788" s="96"/>
      <c r="G788" s="95"/>
      <c r="H788" s="96"/>
      <c r="I788" s="93">
        <v>0</v>
      </c>
      <c r="J788" s="93"/>
      <c r="K788" s="93">
        <v>0</v>
      </c>
      <c r="L788" s="383"/>
      <c r="M788" s="90">
        <f t="shared" si="197"/>
        <v>0</v>
      </c>
      <c r="N788" s="98"/>
      <c r="O788" s="92">
        <f t="shared" si="199"/>
        <v>0</v>
      </c>
    </row>
    <row r="789" spans="1:15" x14ac:dyDescent="0.25">
      <c r="A789" s="85"/>
      <c r="B789" s="403"/>
      <c r="C789" s="393"/>
      <c r="D789" s="94" t="s">
        <v>189</v>
      </c>
      <c r="E789" s="95"/>
      <c r="F789" s="96"/>
      <c r="G789" s="95"/>
      <c r="H789" s="96"/>
      <c r="I789" s="93"/>
      <c r="J789" s="93"/>
      <c r="K789" s="93"/>
      <c r="L789" s="384"/>
      <c r="M789" s="90">
        <f t="shared" si="197"/>
        <v>0</v>
      </c>
      <c r="N789" s="98"/>
      <c r="O789" s="92">
        <f>L783</f>
        <v>551566.4</v>
      </c>
    </row>
    <row r="790" spans="1:15" ht="16.2" thickBot="1" x14ac:dyDescent="0.35">
      <c r="B790" s="404"/>
      <c r="C790" s="394"/>
      <c r="D790" s="123" t="s">
        <v>38</v>
      </c>
      <c r="E790" s="124"/>
      <c r="F790" s="125"/>
      <c r="G790" s="124"/>
      <c r="H790" s="125"/>
      <c r="I790" s="126"/>
      <c r="J790" s="126"/>
      <c r="K790" s="126"/>
      <c r="L790" s="127"/>
      <c r="M790" s="127"/>
      <c r="N790" s="128"/>
      <c r="O790" s="107">
        <f>SUM(O783:O789)</f>
        <v>578746.30000000005</v>
      </c>
    </row>
    <row r="791" spans="1:15" ht="15.6" x14ac:dyDescent="0.3">
      <c r="B791" s="70"/>
      <c r="D791" s="112"/>
      <c r="E791" s="138"/>
      <c r="F791" s="139"/>
      <c r="G791" s="138"/>
      <c r="H791" s="139"/>
      <c r="L791" s="140"/>
      <c r="M791" s="140"/>
      <c r="N791" s="141"/>
      <c r="O791" s="142"/>
    </row>
    <row r="792" spans="1:15" ht="15.6" x14ac:dyDescent="0.3">
      <c r="B792" s="70"/>
      <c r="D792" s="112"/>
      <c r="E792" s="138"/>
      <c r="F792" s="139"/>
      <c r="G792" s="138"/>
      <c r="H792" s="139"/>
      <c r="L792" s="140"/>
      <c r="M792" s="140"/>
      <c r="N792" s="141"/>
      <c r="O792" s="142"/>
    </row>
    <row r="793" spans="1:15" ht="31.8" thickBot="1" x14ac:dyDescent="0.3">
      <c r="A793" s="93"/>
      <c r="B793" s="143" t="s">
        <v>0</v>
      </c>
      <c r="C793" s="144" t="s">
        <v>1</v>
      </c>
      <c r="D793" s="143"/>
      <c r="E793" s="144" t="s">
        <v>198</v>
      </c>
      <c r="F793" s="145" t="s">
        <v>194</v>
      </c>
      <c r="G793" s="144" t="s">
        <v>196</v>
      </c>
      <c r="H793" s="145" t="s">
        <v>9</v>
      </c>
      <c r="I793" s="143" t="s">
        <v>2</v>
      </c>
      <c r="J793" s="144" t="s">
        <v>10</v>
      </c>
      <c r="K793" s="144" t="s">
        <v>13</v>
      </c>
      <c r="L793" s="144" t="s">
        <v>14</v>
      </c>
      <c r="M793" s="146" t="s">
        <v>15</v>
      </c>
      <c r="N793" s="147" t="s">
        <v>11</v>
      </c>
      <c r="O793" s="148" t="s">
        <v>12</v>
      </c>
    </row>
    <row r="794" spans="1:15" ht="15.6" thickBot="1" x14ac:dyDescent="0.3">
      <c r="A794" s="85">
        <v>1</v>
      </c>
      <c r="B794" s="402" t="s">
        <v>159</v>
      </c>
      <c r="C794" s="392">
        <v>1401</v>
      </c>
      <c r="D794" s="87" t="s">
        <v>35</v>
      </c>
      <c r="E794" s="88">
        <v>1207.9000000000001</v>
      </c>
      <c r="F794" s="171">
        <v>46163</v>
      </c>
      <c r="G794" s="88">
        <v>1256.2</v>
      </c>
      <c r="H794" s="171">
        <v>46197</v>
      </c>
      <c r="I794" s="86">
        <f>G794-E794</f>
        <v>48.299999999999955</v>
      </c>
      <c r="J794" s="86"/>
      <c r="K794" s="86">
        <v>257</v>
      </c>
      <c r="L794" s="382">
        <v>648317.80000000005</v>
      </c>
      <c r="M794" s="90">
        <f t="shared" ref="M794:M800" si="200">I794*K794+J794</f>
        <v>12413.099999999988</v>
      </c>
      <c r="N794" s="91">
        <v>0</v>
      </c>
      <c r="O794" s="92">
        <f t="shared" ref="O794:O795" si="201">M794-N794</f>
        <v>12413.099999999988</v>
      </c>
    </row>
    <row r="795" spans="1:15" ht="15.6" thickBot="1" x14ac:dyDescent="0.3">
      <c r="A795" s="85"/>
      <c r="B795" s="403"/>
      <c r="C795" s="393"/>
      <c r="D795" s="94" t="s">
        <v>36</v>
      </c>
      <c r="E795" s="95">
        <v>72</v>
      </c>
      <c r="F795" s="171">
        <v>46163</v>
      </c>
      <c r="G795" s="95">
        <v>75</v>
      </c>
      <c r="H795" s="171">
        <v>46197</v>
      </c>
      <c r="I795" s="86">
        <f>G795-E795</f>
        <v>3</v>
      </c>
      <c r="J795" s="86">
        <v>1000</v>
      </c>
      <c r="K795" s="93">
        <v>1200</v>
      </c>
      <c r="L795" s="383"/>
      <c r="M795" s="267">
        <f t="shared" si="200"/>
        <v>4600</v>
      </c>
      <c r="N795" s="98"/>
      <c r="O795" s="92">
        <f t="shared" si="201"/>
        <v>4600</v>
      </c>
    </row>
    <row r="796" spans="1:15" ht="15.6" thickBot="1" x14ac:dyDescent="0.3">
      <c r="A796" s="85"/>
      <c r="B796" s="403"/>
      <c r="C796" s="393"/>
      <c r="D796" s="117" t="s">
        <v>37</v>
      </c>
      <c r="E796" s="118"/>
      <c r="F796" s="119"/>
      <c r="G796" s="118"/>
      <c r="H796" s="119"/>
      <c r="I796" s="120">
        <v>1</v>
      </c>
      <c r="J796" s="120"/>
      <c r="K796" s="120">
        <v>25000</v>
      </c>
      <c r="L796" s="383"/>
      <c r="M796" s="90">
        <f t="shared" si="200"/>
        <v>25000</v>
      </c>
      <c r="N796" s="99"/>
      <c r="O796" s="92">
        <f t="shared" ref="O796:O799" si="202">M796+L796-N796</f>
        <v>25000</v>
      </c>
    </row>
    <row r="797" spans="1:15" ht="15.6" thickBot="1" x14ac:dyDescent="0.3">
      <c r="A797" s="85"/>
      <c r="B797" s="403"/>
      <c r="C797" s="393"/>
      <c r="D797" s="94" t="s">
        <v>90</v>
      </c>
      <c r="E797" s="95"/>
      <c r="F797" s="96"/>
      <c r="G797" s="95"/>
      <c r="H797" s="96"/>
      <c r="I797" s="93"/>
      <c r="J797" s="93"/>
      <c r="K797" s="93">
        <v>0</v>
      </c>
      <c r="L797" s="383"/>
      <c r="M797" s="90">
        <f t="shared" si="200"/>
        <v>0</v>
      </c>
      <c r="N797" s="98"/>
      <c r="O797" s="92">
        <f t="shared" si="202"/>
        <v>0</v>
      </c>
    </row>
    <row r="798" spans="1:15" ht="15.6" thickBot="1" x14ac:dyDescent="0.3">
      <c r="A798" s="85"/>
      <c r="B798" s="403"/>
      <c r="C798" s="393"/>
      <c r="D798" s="94" t="s">
        <v>91</v>
      </c>
      <c r="E798" s="95"/>
      <c r="F798" s="96"/>
      <c r="G798" s="95"/>
      <c r="H798" s="96"/>
      <c r="I798" s="93">
        <v>1</v>
      </c>
      <c r="J798" s="93"/>
      <c r="K798" s="93">
        <v>2000</v>
      </c>
      <c r="L798" s="383"/>
      <c r="M798" s="90">
        <f t="shared" si="200"/>
        <v>2000</v>
      </c>
      <c r="N798" s="98"/>
      <c r="O798" s="92">
        <f t="shared" si="202"/>
        <v>2000</v>
      </c>
    </row>
    <row r="799" spans="1:15" ht="30.6" thickBot="1" x14ac:dyDescent="0.3">
      <c r="A799" s="85"/>
      <c r="B799" s="403"/>
      <c r="C799" s="393"/>
      <c r="D799" s="94" t="s">
        <v>92</v>
      </c>
      <c r="E799" s="95"/>
      <c r="F799" s="96"/>
      <c r="G799" s="95"/>
      <c r="H799" s="96"/>
      <c r="I799" s="93"/>
      <c r="J799" s="93"/>
      <c r="K799" s="93"/>
      <c r="L799" s="383"/>
      <c r="M799" s="90">
        <f t="shared" si="200"/>
        <v>0</v>
      </c>
      <c r="N799" s="98"/>
      <c r="O799" s="92">
        <f t="shared" si="202"/>
        <v>0</v>
      </c>
    </row>
    <row r="800" spans="1:15" x14ac:dyDescent="0.25">
      <c r="A800" s="85"/>
      <c r="B800" s="403"/>
      <c r="C800" s="393"/>
      <c r="D800" s="94" t="s">
        <v>189</v>
      </c>
      <c r="E800" s="95"/>
      <c r="F800" s="96"/>
      <c r="G800" s="95"/>
      <c r="H800" s="96"/>
      <c r="I800" s="93"/>
      <c r="J800" s="93"/>
      <c r="K800" s="93"/>
      <c r="L800" s="384"/>
      <c r="M800" s="90">
        <f t="shared" si="200"/>
        <v>0</v>
      </c>
      <c r="N800" s="98"/>
      <c r="O800" s="92">
        <f>L794</f>
        <v>648317.80000000005</v>
      </c>
    </row>
    <row r="801" spans="1:15" ht="16.2" thickBot="1" x14ac:dyDescent="0.35">
      <c r="B801" s="404"/>
      <c r="C801" s="394"/>
      <c r="D801" s="123" t="s">
        <v>38</v>
      </c>
      <c r="E801" s="124"/>
      <c r="F801" s="125"/>
      <c r="G801" s="124"/>
      <c r="H801" s="125"/>
      <c r="I801" s="126"/>
      <c r="J801" s="126"/>
      <c r="K801" s="126"/>
      <c r="L801" s="127"/>
      <c r="M801" s="127"/>
      <c r="N801" s="128"/>
      <c r="O801" s="107">
        <f>SUM(O794:O800)</f>
        <v>692330.9</v>
      </c>
    </row>
    <row r="802" spans="1:15" ht="15.6" x14ac:dyDescent="0.3">
      <c r="D802" s="112"/>
      <c r="E802" s="138"/>
      <c r="F802" s="139"/>
      <c r="G802" s="138"/>
      <c r="H802" s="139"/>
      <c r="L802" s="140"/>
      <c r="M802" s="140"/>
      <c r="N802" s="141"/>
      <c r="O802" s="142"/>
    </row>
    <row r="803" spans="1:15" ht="31.8" thickBot="1" x14ac:dyDescent="0.3">
      <c r="A803" s="93"/>
      <c r="B803" s="154" t="s">
        <v>0</v>
      </c>
      <c r="C803" s="154" t="s">
        <v>1</v>
      </c>
      <c r="D803" s="144"/>
      <c r="E803" s="144" t="s">
        <v>198</v>
      </c>
      <c r="F803" s="145" t="s">
        <v>194</v>
      </c>
      <c r="G803" s="144" t="s">
        <v>196</v>
      </c>
      <c r="H803" s="145" t="s">
        <v>9</v>
      </c>
      <c r="I803" s="143" t="s">
        <v>2</v>
      </c>
      <c r="J803" s="144" t="s">
        <v>10</v>
      </c>
      <c r="K803" s="144" t="s">
        <v>13</v>
      </c>
      <c r="L803" s="144" t="s">
        <v>14</v>
      </c>
      <c r="M803" s="146" t="s">
        <v>15</v>
      </c>
      <c r="N803" s="147" t="s">
        <v>11</v>
      </c>
      <c r="O803" s="148" t="s">
        <v>12</v>
      </c>
    </row>
    <row r="804" spans="1:15" ht="15.6" thickBot="1" x14ac:dyDescent="0.3">
      <c r="A804" s="85">
        <v>1</v>
      </c>
      <c r="B804" s="388" t="s">
        <v>160</v>
      </c>
      <c r="C804" s="388" t="s">
        <v>161</v>
      </c>
      <c r="D804" s="87" t="s">
        <v>35</v>
      </c>
      <c r="E804" s="88">
        <v>1869.3</v>
      </c>
      <c r="F804" s="171">
        <v>46163</v>
      </c>
      <c r="G804" s="88">
        <v>1911</v>
      </c>
      <c r="H804" s="171">
        <v>46197</v>
      </c>
      <c r="I804" s="86">
        <f>G804-E804</f>
        <v>41.700000000000045</v>
      </c>
      <c r="J804" s="86"/>
      <c r="K804" s="86">
        <v>257</v>
      </c>
      <c r="L804" s="382">
        <v>113.5</v>
      </c>
      <c r="M804" s="90">
        <f t="shared" ref="M804:M810" si="203">I804*K804+J804</f>
        <v>10716.900000000012</v>
      </c>
      <c r="N804" s="91">
        <v>0</v>
      </c>
      <c r="O804" s="92">
        <f t="shared" ref="O804:O805" si="204">M804-N804</f>
        <v>10716.900000000012</v>
      </c>
    </row>
    <row r="805" spans="1:15" ht="15.6" thickBot="1" x14ac:dyDescent="0.3">
      <c r="A805" s="85"/>
      <c r="B805" s="388"/>
      <c r="C805" s="388"/>
      <c r="D805" s="94" t="s">
        <v>36</v>
      </c>
      <c r="E805" s="95">
        <v>129</v>
      </c>
      <c r="F805" s="171">
        <v>46163</v>
      </c>
      <c r="G805" s="95">
        <v>141</v>
      </c>
      <c r="H805" s="171">
        <v>46197</v>
      </c>
      <c r="I805" s="86">
        <f>G805-E805</f>
        <v>12</v>
      </c>
      <c r="J805" s="86">
        <v>1000</v>
      </c>
      <c r="K805" s="93">
        <v>1200</v>
      </c>
      <c r="L805" s="383"/>
      <c r="M805" s="90">
        <f t="shared" si="203"/>
        <v>15400</v>
      </c>
      <c r="N805" s="98"/>
      <c r="O805" s="92">
        <f t="shared" si="204"/>
        <v>15400</v>
      </c>
    </row>
    <row r="806" spans="1:15" ht="15.6" thickBot="1" x14ac:dyDescent="0.3">
      <c r="A806" s="85"/>
      <c r="B806" s="388"/>
      <c r="C806" s="388"/>
      <c r="D806" s="117" t="s">
        <v>37</v>
      </c>
      <c r="E806" s="118"/>
      <c r="F806" s="119"/>
      <c r="G806" s="118"/>
      <c r="H806" s="119"/>
      <c r="I806" s="120">
        <v>1</v>
      </c>
      <c r="J806" s="120"/>
      <c r="K806" s="120">
        <v>25000</v>
      </c>
      <c r="L806" s="383"/>
      <c r="M806" s="90">
        <f t="shared" si="203"/>
        <v>25000</v>
      </c>
      <c r="N806" s="99"/>
      <c r="O806" s="92">
        <f t="shared" ref="O806:O809" si="205">M806+L806-N806</f>
        <v>25000</v>
      </c>
    </row>
    <row r="807" spans="1:15" ht="15.6" thickBot="1" x14ac:dyDescent="0.3">
      <c r="A807" s="85"/>
      <c r="B807" s="388"/>
      <c r="C807" s="388"/>
      <c r="D807" s="94" t="s">
        <v>90</v>
      </c>
      <c r="E807" s="95"/>
      <c r="F807" s="96"/>
      <c r="G807" s="95"/>
      <c r="H807" s="96"/>
      <c r="I807" s="93"/>
      <c r="J807" s="93"/>
      <c r="K807" s="93">
        <v>0</v>
      </c>
      <c r="L807" s="383"/>
      <c r="M807" s="90">
        <f t="shared" si="203"/>
        <v>0</v>
      </c>
      <c r="N807" s="98"/>
      <c r="O807" s="92">
        <f t="shared" si="205"/>
        <v>0</v>
      </c>
    </row>
    <row r="808" spans="1:15" ht="15.6" thickBot="1" x14ac:dyDescent="0.3">
      <c r="A808" s="85"/>
      <c r="B808" s="388"/>
      <c r="C808" s="388"/>
      <c r="D808" s="94" t="s">
        <v>91</v>
      </c>
      <c r="E808" s="95"/>
      <c r="F808" s="96"/>
      <c r="G808" s="95"/>
      <c r="H808" s="96"/>
      <c r="I808" s="93">
        <v>1</v>
      </c>
      <c r="J808" s="93"/>
      <c r="K808" s="93">
        <v>2000</v>
      </c>
      <c r="L808" s="383"/>
      <c r="M808" s="90">
        <f t="shared" si="203"/>
        <v>2000</v>
      </c>
      <c r="N808" s="98"/>
      <c r="O808" s="92">
        <f t="shared" si="205"/>
        <v>2000</v>
      </c>
    </row>
    <row r="809" spans="1:15" ht="30.6" thickBot="1" x14ac:dyDescent="0.3">
      <c r="A809" s="85"/>
      <c r="B809" s="388"/>
      <c r="C809" s="388"/>
      <c r="D809" s="94" t="s">
        <v>92</v>
      </c>
      <c r="E809" s="95"/>
      <c r="F809" s="96"/>
      <c r="G809" s="95"/>
      <c r="H809" s="96"/>
      <c r="I809" s="93">
        <v>0</v>
      </c>
      <c r="J809" s="93"/>
      <c r="K809" s="93">
        <v>0</v>
      </c>
      <c r="L809" s="383"/>
      <c r="M809" s="90">
        <f t="shared" si="203"/>
        <v>0</v>
      </c>
      <c r="N809" s="98"/>
      <c r="O809" s="92">
        <f t="shared" si="205"/>
        <v>0</v>
      </c>
    </row>
    <row r="810" spans="1:15" x14ac:dyDescent="0.25">
      <c r="A810" s="85"/>
      <c r="B810" s="388"/>
      <c r="C810" s="388"/>
      <c r="D810" s="94" t="s">
        <v>189</v>
      </c>
      <c r="E810" s="95"/>
      <c r="F810" s="96"/>
      <c r="G810" s="95"/>
      <c r="H810" s="96"/>
      <c r="I810" s="93"/>
      <c r="J810" s="93"/>
      <c r="K810" s="93"/>
      <c r="L810" s="384"/>
      <c r="M810" s="90">
        <f t="shared" si="203"/>
        <v>0</v>
      </c>
      <c r="N810" s="98"/>
      <c r="O810" s="92">
        <f>L804</f>
        <v>113.5</v>
      </c>
    </row>
    <row r="811" spans="1:15" ht="16.2" thickBot="1" x14ac:dyDescent="0.35">
      <c r="B811" s="388"/>
      <c r="C811" s="388"/>
      <c r="D811" s="123" t="s">
        <v>38</v>
      </c>
      <c r="E811" s="124"/>
      <c r="F811" s="125"/>
      <c r="G811" s="124"/>
      <c r="H811" s="125"/>
      <c r="I811" s="126"/>
      <c r="J811" s="126"/>
      <c r="K811" s="126"/>
      <c r="L811" s="127"/>
      <c r="M811" s="127"/>
      <c r="N811" s="128"/>
      <c r="O811" s="107">
        <f>SUM(O804:O810)</f>
        <v>53230.400000000009</v>
      </c>
    </row>
    <row r="812" spans="1:15" ht="15.6" x14ac:dyDescent="0.3">
      <c r="B812" s="70"/>
      <c r="C812" s="70"/>
      <c r="E812" s="138"/>
      <c r="F812" s="139"/>
      <c r="G812" s="138"/>
      <c r="H812" s="139"/>
      <c r="L812" s="140"/>
      <c r="M812" s="140"/>
      <c r="N812" s="141"/>
      <c r="O812" s="142"/>
    </row>
    <row r="813" spans="1:15" ht="15.6" x14ac:dyDescent="0.3">
      <c r="B813" s="70"/>
      <c r="C813" s="70"/>
      <c r="E813" s="138"/>
      <c r="F813" s="139"/>
      <c r="G813" s="138"/>
      <c r="H813" s="139"/>
      <c r="L813" s="140"/>
      <c r="M813" s="140"/>
      <c r="N813" s="141"/>
      <c r="O813" s="142"/>
    </row>
    <row r="814" spans="1:15" ht="15.6" x14ac:dyDescent="0.3">
      <c r="B814" s="70"/>
      <c r="C814" s="70"/>
      <c r="E814" s="138"/>
      <c r="F814" s="139"/>
      <c r="G814" s="138"/>
      <c r="H814" s="139"/>
      <c r="L814" s="140"/>
      <c r="M814" s="140"/>
      <c r="N814" s="141"/>
      <c r="O814" s="142"/>
    </row>
    <row r="815" spans="1:15" ht="15.6" x14ac:dyDescent="0.3">
      <c r="B815" s="70"/>
      <c r="C815" s="70"/>
      <c r="E815" s="138"/>
      <c r="F815" s="139"/>
      <c r="G815" s="138"/>
      <c r="H815" s="139"/>
      <c r="L815" s="140"/>
      <c r="M815" s="140"/>
      <c r="N815" s="141"/>
      <c r="O815" s="142"/>
    </row>
    <row r="816" spans="1:15" ht="15.6" x14ac:dyDescent="0.3">
      <c r="B816" s="70"/>
      <c r="C816" s="70"/>
      <c r="E816" s="138"/>
      <c r="F816" s="139"/>
      <c r="G816" s="138"/>
      <c r="H816" s="139"/>
      <c r="L816" s="140"/>
      <c r="M816" s="140"/>
      <c r="N816" s="141"/>
      <c r="O816" s="142"/>
    </row>
    <row r="817" spans="1:15" ht="15.6" x14ac:dyDescent="0.3">
      <c r="B817" s="70"/>
      <c r="C817" s="70"/>
      <c r="E817" s="138"/>
      <c r="F817" s="139"/>
      <c r="G817" s="138"/>
      <c r="H817" s="139"/>
      <c r="L817" s="140"/>
      <c r="M817" s="140"/>
      <c r="N817" s="141"/>
      <c r="O817" s="142"/>
    </row>
    <row r="818" spans="1:15" ht="15.6" x14ac:dyDescent="0.3">
      <c r="B818" s="70"/>
      <c r="C818" s="70"/>
      <c r="E818" s="138"/>
      <c r="F818" s="139"/>
      <c r="G818" s="138"/>
      <c r="H818" s="139"/>
      <c r="L818" s="140"/>
      <c r="M818" s="140"/>
      <c r="N818" s="141"/>
      <c r="O818" s="142"/>
    </row>
    <row r="819" spans="1:15" ht="15.6" x14ac:dyDescent="0.3">
      <c r="B819" s="70"/>
      <c r="C819" s="70"/>
      <c r="E819" s="138"/>
      <c r="F819" s="139"/>
      <c r="G819" s="138"/>
      <c r="H819" s="139"/>
      <c r="L819" s="140"/>
      <c r="M819" s="140"/>
      <c r="N819" s="141"/>
      <c r="O819" s="142"/>
    </row>
    <row r="820" spans="1:15" ht="15.6" x14ac:dyDescent="0.3">
      <c r="B820" s="70"/>
      <c r="C820" s="70"/>
      <c r="E820" s="138"/>
      <c r="F820" s="139"/>
      <c r="G820" s="138"/>
      <c r="H820" s="139"/>
      <c r="L820" s="140"/>
      <c r="M820" s="140"/>
      <c r="N820" s="141"/>
      <c r="O820" s="142"/>
    </row>
    <row r="821" spans="1:15" ht="95.25" customHeight="1" x14ac:dyDescent="0.25"/>
    <row r="822" spans="1:15" ht="31.8" thickBot="1" x14ac:dyDescent="0.3">
      <c r="A822" s="93"/>
      <c r="B822" s="143" t="s">
        <v>0</v>
      </c>
      <c r="C822" s="144" t="s">
        <v>1</v>
      </c>
      <c r="D822" s="143"/>
      <c r="E822" s="144" t="s">
        <v>198</v>
      </c>
      <c r="F822" s="145" t="s">
        <v>194</v>
      </c>
      <c r="G822" s="144" t="s">
        <v>196</v>
      </c>
      <c r="H822" s="145" t="s">
        <v>9</v>
      </c>
      <c r="I822" s="143" t="s">
        <v>2</v>
      </c>
      <c r="J822" s="144" t="s">
        <v>10</v>
      </c>
      <c r="K822" s="144" t="s">
        <v>13</v>
      </c>
      <c r="L822" s="144" t="s">
        <v>14</v>
      </c>
      <c r="M822" s="146" t="s">
        <v>15</v>
      </c>
      <c r="N822" s="147" t="s">
        <v>11</v>
      </c>
      <c r="O822" s="148" t="s">
        <v>12</v>
      </c>
    </row>
    <row r="823" spans="1:15" ht="15.6" thickBot="1" x14ac:dyDescent="0.3">
      <c r="A823" s="85">
        <v>1</v>
      </c>
      <c r="B823" s="389" t="s">
        <v>162</v>
      </c>
      <c r="C823" s="392">
        <v>1403</v>
      </c>
      <c r="D823" s="87" t="s">
        <v>35</v>
      </c>
      <c r="E823" s="88">
        <v>1542.8</v>
      </c>
      <c r="F823" s="171">
        <v>46163</v>
      </c>
      <c r="G823" s="88">
        <v>1544.4</v>
      </c>
      <c r="H823" s="171">
        <v>46197</v>
      </c>
      <c r="I823" s="86">
        <f>G823-E823</f>
        <v>1.6000000000001364</v>
      </c>
      <c r="J823" s="86"/>
      <c r="K823" s="86">
        <v>257</v>
      </c>
      <c r="L823" s="382">
        <v>30.2</v>
      </c>
      <c r="M823" s="90">
        <f t="shared" ref="M823:M829" si="206">I823*K823+J823</f>
        <v>411.20000000003506</v>
      </c>
      <c r="N823" s="91">
        <v>0</v>
      </c>
      <c r="O823" s="92">
        <f t="shared" ref="O823:O824" si="207">M823-N823</f>
        <v>411.20000000003506</v>
      </c>
    </row>
    <row r="824" spans="1:15" ht="15.6" thickBot="1" x14ac:dyDescent="0.3">
      <c r="A824" s="85"/>
      <c r="B824" s="390"/>
      <c r="C824" s="393"/>
      <c r="D824" s="94" t="s">
        <v>36</v>
      </c>
      <c r="E824" s="95">
        <v>241</v>
      </c>
      <c r="F824" s="171">
        <v>46163</v>
      </c>
      <c r="G824" s="95">
        <v>242</v>
      </c>
      <c r="H824" s="171">
        <v>46197</v>
      </c>
      <c r="I824" s="86">
        <f>G824-E824</f>
        <v>1</v>
      </c>
      <c r="J824" s="86">
        <v>1000</v>
      </c>
      <c r="K824" s="93">
        <v>1200</v>
      </c>
      <c r="L824" s="383"/>
      <c r="M824" s="90">
        <f t="shared" si="206"/>
        <v>2200</v>
      </c>
      <c r="N824" s="98"/>
      <c r="O824" s="92">
        <f t="shared" si="207"/>
        <v>2200</v>
      </c>
    </row>
    <row r="825" spans="1:15" ht="15.6" thickBot="1" x14ac:dyDescent="0.3">
      <c r="A825" s="85"/>
      <c r="B825" s="390"/>
      <c r="C825" s="393"/>
      <c r="D825" s="117" t="s">
        <v>37</v>
      </c>
      <c r="E825" s="118"/>
      <c r="F825" s="119"/>
      <c r="G825" s="118"/>
      <c r="H825" s="119"/>
      <c r="I825" s="120">
        <v>1</v>
      </c>
      <c r="J825" s="120"/>
      <c r="K825" s="120">
        <v>15000</v>
      </c>
      <c r="L825" s="383"/>
      <c r="M825" s="90">
        <f t="shared" si="206"/>
        <v>15000</v>
      </c>
      <c r="N825" s="99"/>
      <c r="O825" s="92">
        <f t="shared" ref="O825:O828" si="208">M825+L825-N825</f>
        <v>15000</v>
      </c>
    </row>
    <row r="826" spans="1:15" ht="15.6" thickBot="1" x14ac:dyDescent="0.3">
      <c r="A826" s="85"/>
      <c r="B826" s="390"/>
      <c r="C826" s="393"/>
      <c r="D826" s="94" t="s">
        <v>90</v>
      </c>
      <c r="E826" s="95"/>
      <c r="F826" s="96"/>
      <c r="G826" s="95"/>
      <c r="H826" s="96"/>
      <c r="I826" s="93"/>
      <c r="J826" s="93"/>
      <c r="K826" s="93">
        <v>0</v>
      </c>
      <c r="L826" s="383"/>
      <c r="M826" s="90">
        <f t="shared" si="206"/>
        <v>0</v>
      </c>
      <c r="N826" s="98"/>
      <c r="O826" s="92">
        <f t="shared" si="208"/>
        <v>0</v>
      </c>
    </row>
    <row r="827" spans="1:15" ht="15.6" thickBot="1" x14ac:dyDescent="0.3">
      <c r="A827" s="85"/>
      <c r="B827" s="390"/>
      <c r="C827" s="393"/>
      <c r="D827" s="94" t="s">
        <v>91</v>
      </c>
      <c r="E827" s="95"/>
      <c r="F827" s="96"/>
      <c r="G827" s="95"/>
      <c r="H827" s="96"/>
      <c r="I827" s="93">
        <v>1</v>
      </c>
      <c r="J827" s="93"/>
      <c r="K827" s="93">
        <v>2000</v>
      </c>
      <c r="L827" s="383"/>
      <c r="M827" s="90">
        <f t="shared" si="206"/>
        <v>2000</v>
      </c>
      <c r="N827" s="98"/>
      <c r="O827" s="92">
        <f t="shared" si="208"/>
        <v>2000</v>
      </c>
    </row>
    <row r="828" spans="1:15" ht="30.6" thickBot="1" x14ac:dyDescent="0.3">
      <c r="A828" s="85"/>
      <c r="B828" s="390"/>
      <c r="C828" s="393"/>
      <c r="D828" s="94" t="s">
        <v>92</v>
      </c>
      <c r="E828" s="95"/>
      <c r="F828" s="96"/>
      <c r="G828" s="95"/>
      <c r="H828" s="96"/>
      <c r="I828" s="93">
        <v>0</v>
      </c>
      <c r="J828" s="93"/>
      <c r="K828" s="93">
        <v>0</v>
      </c>
      <c r="L828" s="383"/>
      <c r="M828" s="90">
        <f t="shared" si="206"/>
        <v>0</v>
      </c>
      <c r="N828" s="98"/>
      <c r="O828" s="92">
        <f t="shared" si="208"/>
        <v>0</v>
      </c>
    </row>
    <row r="829" spans="1:15" x14ac:dyDescent="0.25">
      <c r="A829" s="85"/>
      <c r="B829" s="390"/>
      <c r="C829" s="393"/>
      <c r="D829" s="94" t="s">
        <v>14</v>
      </c>
      <c r="E829" s="95"/>
      <c r="F829" s="96"/>
      <c r="G829" s="95"/>
      <c r="H829" s="96"/>
      <c r="I829" s="93">
        <v>0</v>
      </c>
      <c r="J829" s="93"/>
      <c r="K829" s="93">
        <v>0</v>
      </c>
      <c r="L829" s="384"/>
      <c r="M829" s="90">
        <f t="shared" si="206"/>
        <v>0</v>
      </c>
      <c r="N829" s="98"/>
      <c r="O829" s="92">
        <f>L823</f>
        <v>30.2</v>
      </c>
    </row>
    <row r="830" spans="1:15" ht="16.2" thickBot="1" x14ac:dyDescent="0.35">
      <c r="B830" s="391"/>
      <c r="C830" s="394"/>
      <c r="D830" s="123" t="s">
        <v>38</v>
      </c>
      <c r="E830" s="124"/>
      <c r="F830" s="125"/>
      <c r="G830" s="124"/>
      <c r="H830" s="125"/>
      <c r="I830" s="126"/>
      <c r="J830" s="126"/>
      <c r="K830" s="126"/>
      <c r="L830" s="127"/>
      <c r="M830" s="127"/>
      <c r="N830" s="128"/>
      <c r="O830" s="107">
        <f>SUM(O823:O829)</f>
        <v>19641.400000000034</v>
      </c>
    </row>
    <row r="831" spans="1:15" ht="15.6" x14ac:dyDescent="0.3">
      <c r="B831" s="318"/>
      <c r="C831" s="137"/>
      <c r="D831" s="112"/>
      <c r="E831" s="138"/>
      <c r="F831" s="139"/>
      <c r="G831" s="138"/>
      <c r="H831" s="139"/>
      <c r="L831" s="140"/>
      <c r="M831" s="140"/>
      <c r="N831" s="141"/>
      <c r="O831" s="142"/>
    </row>
    <row r="832" spans="1:15" ht="15.6" x14ac:dyDescent="0.3">
      <c r="B832" s="318"/>
      <c r="C832" s="137"/>
      <c r="D832" s="112"/>
      <c r="E832" s="138"/>
      <c r="F832" s="139"/>
      <c r="G832" s="138"/>
      <c r="H832" s="139"/>
      <c r="L832" s="140"/>
      <c r="M832" s="140"/>
      <c r="N832" s="141"/>
      <c r="O832" s="142"/>
    </row>
    <row r="833" spans="1:15" ht="15.6" x14ac:dyDescent="0.3">
      <c r="B833" s="318"/>
      <c r="C833" s="137"/>
      <c r="D833" s="112"/>
      <c r="E833" s="138"/>
      <c r="F833" s="139"/>
      <c r="G833" s="138"/>
      <c r="H833" s="139"/>
      <c r="L833" s="140"/>
      <c r="M833" s="140"/>
      <c r="N833" s="141"/>
      <c r="O833" s="142"/>
    </row>
    <row r="834" spans="1:15" ht="31.8" thickBot="1" x14ac:dyDescent="0.3">
      <c r="A834" s="93"/>
      <c r="B834" s="143" t="s">
        <v>0</v>
      </c>
      <c r="C834" s="144" t="s">
        <v>1</v>
      </c>
      <c r="D834" s="144"/>
      <c r="E834" s="144" t="s">
        <v>198</v>
      </c>
      <c r="F834" s="145" t="s">
        <v>194</v>
      </c>
      <c r="G834" s="144" t="s">
        <v>196</v>
      </c>
      <c r="H834" s="145" t="s">
        <v>9</v>
      </c>
      <c r="I834" s="143" t="s">
        <v>2</v>
      </c>
      <c r="J834" s="144" t="s">
        <v>10</v>
      </c>
      <c r="K834" s="144" t="s">
        <v>13</v>
      </c>
      <c r="L834" s="144" t="s">
        <v>14</v>
      </c>
      <c r="M834" s="146" t="s">
        <v>15</v>
      </c>
      <c r="N834" s="147" t="s">
        <v>11</v>
      </c>
      <c r="O834" s="148" t="s">
        <v>12</v>
      </c>
    </row>
    <row r="835" spans="1:15" ht="15.6" thickBot="1" x14ac:dyDescent="0.3">
      <c r="A835" s="85">
        <v>1</v>
      </c>
      <c r="B835" s="402" t="s">
        <v>163</v>
      </c>
      <c r="C835" s="392">
        <v>1404</v>
      </c>
      <c r="D835" s="87" t="s">
        <v>35</v>
      </c>
      <c r="E835" s="88">
        <v>5643.2</v>
      </c>
      <c r="F835" s="171">
        <v>46163</v>
      </c>
      <c r="G835" s="88">
        <v>5891.8</v>
      </c>
      <c r="H835" s="171">
        <v>46197</v>
      </c>
      <c r="I835" s="343">
        <f>G835-E835</f>
        <v>248.60000000000036</v>
      </c>
      <c r="J835" s="86"/>
      <c r="K835" s="86">
        <v>257</v>
      </c>
      <c r="L835" s="382">
        <v>19.399999999999999</v>
      </c>
      <c r="M835" s="90">
        <f t="shared" ref="M835:M841" si="209">I835*K835+J835</f>
        <v>63890.200000000092</v>
      </c>
      <c r="N835" s="91">
        <v>0</v>
      </c>
      <c r="O835" s="92">
        <f t="shared" ref="O835:O836" si="210">M835-N835</f>
        <v>63890.200000000092</v>
      </c>
    </row>
    <row r="836" spans="1:15" ht="15.6" thickBot="1" x14ac:dyDescent="0.3">
      <c r="A836" s="85"/>
      <c r="B836" s="403"/>
      <c r="C836" s="393"/>
      <c r="D836" s="94" t="s">
        <v>36</v>
      </c>
      <c r="E836" s="95">
        <v>321</v>
      </c>
      <c r="F836" s="171">
        <v>46163</v>
      </c>
      <c r="G836" s="95">
        <v>339</v>
      </c>
      <c r="H836" s="171">
        <v>46197</v>
      </c>
      <c r="I836" s="86">
        <f>G836-E836</f>
        <v>18</v>
      </c>
      <c r="J836" s="86">
        <v>1000</v>
      </c>
      <c r="K836" s="93">
        <v>1200</v>
      </c>
      <c r="L836" s="383"/>
      <c r="M836" s="90">
        <f t="shared" si="209"/>
        <v>22600</v>
      </c>
      <c r="N836" s="98"/>
      <c r="O836" s="92">
        <f t="shared" si="210"/>
        <v>22600</v>
      </c>
    </row>
    <row r="837" spans="1:15" ht="15.6" thickBot="1" x14ac:dyDescent="0.3">
      <c r="A837" s="85"/>
      <c r="B837" s="403"/>
      <c r="C837" s="393"/>
      <c r="D837" s="117" t="s">
        <v>37</v>
      </c>
      <c r="E837" s="118"/>
      <c r="F837" s="119"/>
      <c r="G837" s="118"/>
      <c r="H837" s="119"/>
      <c r="I837" s="120">
        <v>1</v>
      </c>
      <c r="J837" s="120"/>
      <c r="K837" s="120">
        <v>25000</v>
      </c>
      <c r="L837" s="383"/>
      <c r="M837" s="90">
        <f t="shared" si="209"/>
        <v>25000</v>
      </c>
      <c r="N837" s="99"/>
      <c r="O837" s="92">
        <f t="shared" ref="O837:O840" si="211">M837+L837-N837</f>
        <v>25000</v>
      </c>
    </row>
    <row r="838" spans="1:15" ht="15.6" thickBot="1" x14ac:dyDescent="0.3">
      <c r="A838" s="85"/>
      <c r="B838" s="403"/>
      <c r="C838" s="393"/>
      <c r="D838" s="94" t="s">
        <v>90</v>
      </c>
      <c r="E838" s="95"/>
      <c r="F838" s="96"/>
      <c r="G838" s="95"/>
      <c r="H838" s="96"/>
      <c r="I838" s="93"/>
      <c r="J838" s="93"/>
      <c r="K838" s="93">
        <v>0</v>
      </c>
      <c r="L838" s="383"/>
      <c r="M838" s="90">
        <f t="shared" si="209"/>
        <v>0</v>
      </c>
      <c r="N838" s="98"/>
      <c r="O838" s="92">
        <f t="shared" si="211"/>
        <v>0</v>
      </c>
    </row>
    <row r="839" spans="1:15" ht="15.6" thickBot="1" x14ac:dyDescent="0.3">
      <c r="A839" s="85"/>
      <c r="B839" s="403"/>
      <c r="C839" s="393"/>
      <c r="D839" s="94" t="s">
        <v>91</v>
      </c>
      <c r="E839" s="95"/>
      <c r="F839" s="96"/>
      <c r="G839" s="95"/>
      <c r="H839" s="96"/>
      <c r="I839" s="93">
        <v>1</v>
      </c>
      <c r="J839" s="93"/>
      <c r="K839" s="93">
        <v>2000</v>
      </c>
      <c r="L839" s="383"/>
      <c r="M839" s="90">
        <f t="shared" si="209"/>
        <v>2000</v>
      </c>
      <c r="N839" s="98"/>
      <c r="O839" s="92">
        <f t="shared" si="211"/>
        <v>2000</v>
      </c>
    </row>
    <row r="840" spans="1:15" ht="30.6" thickBot="1" x14ac:dyDescent="0.3">
      <c r="A840" s="85"/>
      <c r="B840" s="403"/>
      <c r="C840" s="393"/>
      <c r="D840" s="94" t="s">
        <v>92</v>
      </c>
      <c r="E840" s="95"/>
      <c r="F840" s="96"/>
      <c r="G840" s="95"/>
      <c r="H840" s="96"/>
      <c r="I840" s="93">
        <v>0</v>
      </c>
      <c r="J840" s="93"/>
      <c r="K840" s="93">
        <v>0</v>
      </c>
      <c r="L840" s="383"/>
      <c r="M840" s="90">
        <f t="shared" si="209"/>
        <v>0</v>
      </c>
      <c r="N840" s="98"/>
      <c r="O840" s="92">
        <f t="shared" si="211"/>
        <v>0</v>
      </c>
    </row>
    <row r="841" spans="1:15" x14ac:dyDescent="0.25">
      <c r="A841" s="85"/>
      <c r="B841" s="403"/>
      <c r="C841" s="393"/>
      <c r="D841" s="94" t="s">
        <v>189</v>
      </c>
      <c r="E841" s="95"/>
      <c r="F841" s="96"/>
      <c r="G841" s="95"/>
      <c r="H841" s="96"/>
      <c r="I841" s="93"/>
      <c r="J841" s="93"/>
      <c r="K841" s="93"/>
      <c r="L841" s="384"/>
      <c r="M841" s="90">
        <f t="shared" si="209"/>
        <v>0</v>
      </c>
      <c r="N841" s="98"/>
      <c r="O841" s="92">
        <f>L835</f>
        <v>19.399999999999999</v>
      </c>
    </row>
    <row r="842" spans="1:15" ht="16.2" thickBot="1" x14ac:dyDescent="0.35">
      <c r="B842" s="404"/>
      <c r="C842" s="394"/>
      <c r="D842" s="123" t="s">
        <v>38</v>
      </c>
      <c r="E842" s="124"/>
      <c r="F842" s="125"/>
      <c r="G842" s="124"/>
      <c r="H842" s="125"/>
      <c r="I842" s="126"/>
      <c r="J842" s="126"/>
      <c r="K842" s="126"/>
      <c r="L842" s="127"/>
      <c r="M842" s="127"/>
      <c r="N842" s="128"/>
      <c r="O842" s="107">
        <f>SUM(O835:O841)</f>
        <v>113509.60000000009</v>
      </c>
    </row>
    <row r="845" spans="1:15" ht="31.8" thickBot="1" x14ac:dyDescent="0.3">
      <c r="A845" s="93"/>
      <c r="B845" s="143" t="s">
        <v>0</v>
      </c>
      <c r="C845" s="144" t="s">
        <v>1</v>
      </c>
      <c r="D845" s="143"/>
      <c r="E845" s="144" t="s">
        <v>198</v>
      </c>
      <c r="F845" s="145" t="s">
        <v>194</v>
      </c>
      <c r="G845" s="144" t="s">
        <v>196</v>
      </c>
      <c r="H845" s="145" t="s">
        <v>9</v>
      </c>
      <c r="I845" s="143" t="s">
        <v>2</v>
      </c>
      <c r="J845" s="144" t="s">
        <v>10</v>
      </c>
      <c r="K845" s="144" t="s">
        <v>13</v>
      </c>
      <c r="L845" s="144" t="s">
        <v>14</v>
      </c>
      <c r="M845" s="146" t="s">
        <v>15</v>
      </c>
      <c r="N845" s="147" t="s">
        <v>11</v>
      </c>
      <c r="O845" s="148" t="s">
        <v>12</v>
      </c>
    </row>
    <row r="846" spans="1:15" ht="15.6" thickBot="1" x14ac:dyDescent="0.3">
      <c r="A846" s="85">
        <v>1</v>
      </c>
      <c r="B846" s="402" t="s">
        <v>164</v>
      </c>
      <c r="C846" s="402" t="s">
        <v>165</v>
      </c>
      <c r="D846" s="87" t="s">
        <v>35</v>
      </c>
      <c r="E846" s="88">
        <v>1494.8</v>
      </c>
      <c r="F846" s="171">
        <v>46163</v>
      </c>
      <c r="G846" s="88">
        <v>1506.4</v>
      </c>
      <c r="H846" s="171">
        <v>46197</v>
      </c>
      <c r="I846" s="86">
        <f>G846-E846</f>
        <v>11.600000000000136</v>
      </c>
      <c r="J846" s="86"/>
      <c r="K846" s="86">
        <v>257</v>
      </c>
      <c r="L846" s="382">
        <v>38920.800000000003</v>
      </c>
      <c r="M846" s="90">
        <f t="shared" ref="M846:M852" si="212">I846*K846+J846</f>
        <v>2981.2000000000353</v>
      </c>
      <c r="N846" s="91">
        <v>0</v>
      </c>
      <c r="O846" s="92">
        <f t="shared" ref="O846:O847" si="213">M846-N846</f>
        <v>2981.2000000000353</v>
      </c>
    </row>
    <row r="847" spans="1:15" ht="15.6" thickBot="1" x14ac:dyDescent="0.3">
      <c r="A847" s="85"/>
      <c r="B847" s="403"/>
      <c r="C847" s="403"/>
      <c r="D847" s="94" t="s">
        <v>36</v>
      </c>
      <c r="E847" s="95">
        <v>300</v>
      </c>
      <c r="F847" s="171">
        <v>46163</v>
      </c>
      <c r="G847" s="95">
        <v>301</v>
      </c>
      <c r="H847" s="171">
        <v>46197</v>
      </c>
      <c r="I847" s="86">
        <f>G847-E847</f>
        <v>1</v>
      </c>
      <c r="J847" s="86">
        <v>1000</v>
      </c>
      <c r="K847" s="93">
        <v>1200</v>
      </c>
      <c r="L847" s="383"/>
      <c r="M847" s="90">
        <f t="shared" si="212"/>
        <v>2200</v>
      </c>
      <c r="N847" s="98"/>
      <c r="O847" s="92">
        <f t="shared" si="213"/>
        <v>2200</v>
      </c>
    </row>
    <row r="848" spans="1:15" ht="15.6" thickBot="1" x14ac:dyDescent="0.3">
      <c r="A848" s="85"/>
      <c r="B848" s="403"/>
      <c r="C848" s="403"/>
      <c r="D848" s="117" t="s">
        <v>37</v>
      </c>
      <c r="E848" s="118"/>
      <c r="F848" s="119"/>
      <c r="G848" s="118"/>
      <c r="H848" s="119"/>
      <c r="I848" s="120">
        <v>1</v>
      </c>
      <c r="J848" s="120"/>
      <c r="K848" s="120">
        <v>15000</v>
      </c>
      <c r="L848" s="383"/>
      <c r="M848" s="90">
        <f t="shared" si="212"/>
        <v>15000</v>
      </c>
      <c r="N848" s="99"/>
      <c r="O848" s="92">
        <f t="shared" ref="O848:O851" si="214">M848+L848-N848</f>
        <v>15000</v>
      </c>
    </row>
    <row r="849" spans="1:15" ht="15.6" thickBot="1" x14ac:dyDescent="0.3">
      <c r="A849" s="85"/>
      <c r="B849" s="403"/>
      <c r="C849" s="403"/>
      <c r="D849" s="94" t="s">
        <v>90</v>
      </c>
      <c r="E849" s="95"/>
      <c r="F849" s="96"/>
      <c r="G849" s="95"/>
      <c r="H849" s="96"/>
      <c r="I849" s="93">
        <v>0</v>
      </c>
      <c r="J849" s="93"/>
      <c r="K849" s="93">
        <v>0</v>
      </c>
      <c r="L849" s="383"/>
      <c r="M849" s="90">
        <f t="shared" si="212"/>
        <v>0</v>
      </c>
      <c r="N849" s="98"/>
      <c r="O849" s="92">
        <f t="shared" si="214"/>
        <v>0</v>
      </c>
    </row>
    <row r="850" spans="1:15" ht="15.6" thickBot="1" x14ac:dyDescent="0.3">
      <c r="A850" s="85"/>
      <c r="B850" s="403"/>
      <c r="C850" s="403"/>
      <c r="D850" s="94" t="s">
        <v>91</v>
      </c>
      <c r="E850" s="95"/>
      <c r="F850" s="96"/>
      <c r="G850" s="95"/>
      <c r="H850" s="96"/>
      <c r="I850" s="93">
        <v>1</v>
      </c>
      <c r="J850" s="93"/>
      <c r="K850" s="93">
        <v>2000</v>
      </c>
      <c r="L850" s="383"/>
      <c r="M850" s="90">
        <f t="shared" si="212"/>
        <v>2000</v>
      </c>
      <c r="N850" s="98"/>
      <c r="O850" s="92">
        <f t="shared" si="214"/>
        <v>2000</v>
      </c>
    </row>
    <row r="851" spans="1:15" ht="30.6" thickBot="1" x14ac:dyDescent="0.3">
      <c r="A851" s="85"/>
      <c r="B851" s="403"/>
      <c r="C851" s="403"/>
      <c r="D851" s="94" t="s">
        <v>92</v>
      </c>
      <c r="E851" s="95"/>
      <c r="F851" s="96"/>
      <c r="G851" s="95"/>
      <c r="H851" s="96"/>
      <c r="I851" s="93">
        <v>0</v>
      </c>
      <c r="J851" s="93"/>
      <c r="K851" s="93">
        <v>0</v>
      </c>
      <c r="L851" s="383"/>
      <c r="M851" s="90">
        <f t="shared" si="212"/>
        <v>0</v>
      </c>
      <c r="N851" s="98"/>
      <c r="O851" s="92">
        <f t="shared" si="214"/>
        <v>0</v>
      </c>
    </row>
    <row r="852" spans="1:15" x14ac:dyDescent="0.25">
      <c r="A852" s="85"/>
      <c r="B852" s="403"/>
      <c r="C852" s="403"/>
      <c r="D852" s="94" t="s">
        <v>189</v>
      </c>
      <c r="E852" s="95"/>
      <c r="F852" s="96"/>
      <c r="G852" s="95"/>
      <c r="H852" s="96"/>
      <c r="I852" s="93"/>
      <c r="J852" s="93"/>
      <c r="K852" s="93"/>
      <c r="L852" s="384"/>
      <c r="M852" s="90">
        <f t="shared" si="212"/>
        <v>0</v>
      </c>
      <c r="N852" s="98"/>
      <c r="O852" s="92">
        <f>L846</f>
        <v>38920.800000000003</v>
      </c>
    </row>
    <row r="853" spans="1:15" ht="16.2" thickBot="1" x14ac:dyDescent="0.35">
      <c r="B853" s="404"/>
      <c r="C853" s="404"/>
      <c r="D853" s="123" t="s">
        <v>38</v>
      </c>
      <c r="E853" s="124"/>
      <c r="F853" s="125"/>
      <c r="G853" s="124"/>
      <c r="H853" s="125"/>
      <c r="I853" s="126"/>
      <c r="J853" s="126"/>
      <c r="K853" s="126"/>
      <c r="L853" s="127"/>
      <c r="M853" s="127"/>
      <c r="N853" s="128"/>
      <c r="O853" s="107">
        <f>SUM(O846:O852)</f>
        <v>61102.000000000036</v>
      </c>
    </row>
    <row r="854" spans="1:15" ht="15.6" x14ac:dyDescent="0.3">
      <c r="B854" s="151"/>
      <c r="C854" s="151"/>
      <c r="D854" s="112"/>
      <c r="E854" s="138"/>
      <c r="F854" s="139"/>
      <c r="G854" s="138"/>
      <c r="H854" s="139"/>
      <c r="L854" s="140"/>
      <c r="M854" s="140"/>
      <c r="N854" s="141"/>
      <c r="O854" s="142"/>
    </row>
    <row r="855" spans="1:15" ht="31.8" thickBot="1" x14ac:dyDescent="0.3">
      <c r="A855" s="93"/>
      <c r="B855" s="143" t="s">
        <v>0</v>
      </c>
      <c r="C855" s="144" t="s">
        <v>1</v>
      </c>
      <c r="D855" s="143"/>
      <c r="E855" s="144" t="s">
        <v>198</v>
      </c>
      <c r="F855" s="145" t="s">
        <v>194</v>
      </c>
      <c r="G855" s="144" t="s">
        <v>196</v>
      </c>
      <c r="H855" s="145" t="s">
        <v>9</v>
      </c>
      <c r="I855" s="143" t="s">
        <v>2</v>
      </c>
      <c r="J855" s="144" t="s">
        <v>10</v>
      </c>
      <c r="K855" s="144" t="s">
        <v>13</v>
      </c>
      <c r="L855" s="144" t="s">
        <v>14</v>
      </c>
      <c r="M855" s="146" t="s">
        <v>15</v>
      </c>
      <c r="N855" s="147" t="s">
        <v>11</v>
      </c>
      <c r="O855" s="148" t="s">
        <v>12</v>
      </c>
    </row>
    <row r="856" spans="1:15" ht="15.6" thickBot="1" x14ac:dyDescent="0.3">
      <c r="A856" s="85">
        <v>1</v>
      </c>
      <c r="B856" s="402" t="s">
        <v>166</v>
      </c>
      <c r="C856" s="392">
        <v>1406</v>
      </c>
      <c r="D856" s="87" t="s">
        <v>35</v>
      </c>
      <c r="E856" s="88">
        <v>185.4</v>
      </c>
      <c r="F856" s="171">
        <v>46163</v>
      </c>
      <c r="G856" s="88">
        <v>185.4</v>
      </c>
      <c r="H856" s="171">
        <v>46197</v>
      </c>
      <c r="I856" s="86">
        <f>G856-E856</f>
        <v>0</v>
      </c>
      <c r="J856" s="86"/>
      <c r="K856" s="86">
        <v>257</v>
      </c>
      <c r="L856" s="382">
        <v>243977.8</v>
      </c>
      <c r="M856" s="90">
        <f t="shared" ref="M856:M862" si="215">I856*K856+J856</f>
        <v>0</v>
      </c>
      <c r="N856" s="91">
        <v>0</v>
      </c>
      <c r="O856" s="92">
        <f t="shared" ref="O856:O857" si="216">M856-N856</f>
        <v>0</v>
      </c>
    </row>
    <row r="857" spans="1:15" ht="15.6" thickBot="1" x14ac:dyDescent="0.3">
      <c r="A857" s="85"/>
      <c r="B857" s="403"/>
      <c r="C857" s="393"/>
      <c r="D857" s="94" t="s">
        <v>36</v>
      </c>
      <c r="E857" s="269">
        <v>9</v>
      </c>
      <c r="F857" s="171">
        <v>46163</v>
      </c>
      <c r="G857" s="269">
        <v>9</v>
      </c>
      <c r="H857" s="171">
        <v>46197</v>
      </c>
      <c r="I857" s="86">
        <f>G857-E857</f>
        <v>0</v>
      </c>
      <c r="J857" s="86">
        <v>0</v>
      </c>
      <c r="K857" s="93">
        <v>1200</v>
      </c>
      <c r="L857" s="383"/>
      <c r="M857" s="267">
        <f t="shared" si="215"/>
        <v>0</v>
      </c>
      <c r="N857" s="98"/>
      <c r="O857" s="92">
        <f t="shared" si="216"/>
        <v>0</v>
      </c>
    </row>
    <row r="858" spans="1:15" ht="15.6" thickBot="1" x14ac:dyDescent="0.3">
      <c r="A858" s="85"/>
      <c r="B858" s="403"/>
      <c r="C858" s="393"/>
      <c r="D858" s="117" t="s">
        <v>37</v>
      </c>
      <c r="E858" s="118"/>
      <c r="F858" s="119"/>
      <c r="G858" s="118"/>
      <c r="H858" s="119"/>
      <c r="I858" s="120">
        <v>1</v>
      </c>
      <c r="J858" s="120"/>
      <c r="K858" s="120">
        <v>15000</v>
      </c>
      <c r="L858" s="383"/>
      <c r="M858" s="90">
        <f t="shared" si="215"/>
        <v>15000</v>
      </c>
      <c r="N858" s="99"/>
      <c r="O858" s="92">
        <v>15000</v>
      </c>
    </row>
    <row r="859" spans="1:15" ht="15.6" thickBot="1" x14ac:dyDescent="0.3">
      <c r="A859" s="85"/>
      <c r="B859" s="403"/>
      <c r="C859" s="393"/>
      <c r="D859" s="94" t="s">
        <v>90</v>
      </c>
      <c r="E859" s="95"/>
      <c r="F859" s="96"/>
      <c r="G859" s="95"/>
      <c r="H859" s="96"/>
      <c r="I859" s="93"/>
      <c r="J859" s="93"/>
      <c r="K859" s="93">
        <v>0</v>
      </c>
      <c r="L859" s="383"/>
      <c r="M859" s="90">
        <f t="shared" si="215"/>
        <v>0</v>
      </c>
      <c r="N859" s="98"/>
      <c r="O859" s="92">
        <f>M859+L859-N859</f>
        <v>0</v>
      </c>
    </row>
    <row r="860" spans="1:15" ht="15.6" thickBot="1" x14ac:dyDescent="0.3">
      <c r="A860" s="85"/>
      <c r="B860" s="403"/>
      <c r="C860" s="393"/>
      <c r="D860" s="94" t="s">
        <v>91</v>
      </c>
      <c r="E860" s="95"/>
      <c r="F860" s="96"/>
      <c r="G860" s="95"/>
      <c r="H860" s="96"/>
      <c r="I860" s="93">
        <v>0</v>
      </c>
      <c r="J860" s="93"/>
      <c r="K860" s="93">
        <v>2000</v>
      </c>
      <c r="L860" s="383"/>
      <c r="M860" s="90">
        <f t="shared" si="215"/>
        <v>0</v>
      </c>
      <c r="N860" s="98"/>
      <c r="O860" s="92">
        <f>M860+L860-N860</f>
        <v>0</v>
      </c>
    </row>
    <row r="861" spans="1:15" ht="30.6" thickBot="1" x14ac:dyDescent="0.3">
      <c r="A861" s="85"/>
      <c r="B861" s="403"/>
      <c r="C861" s="393"/>
      <c r="D861" s="94" t="s">
        <v>92</v>
      </c>
      <c r="E861" s="95"/>
      <c r="F861" s="96"/>
      <c r="G861" s="95"/>
      <c r="H861" s="96"/>
      <c r="I861" s="93">
        <v>0</v>
      </c>
      <c r="J861" s="93"/>
      <c r="K861" s="93">
        <v>0</v>
      </c>
      <c r="L861" s="383"/>
      <c r="M861" s="90">
        <f t="shared" si="215"/>
        <v>0</v>
      </c>
      <c r="N861" s="98"/>
      <c r="O861" s="92">
        <f>M861+L861-N861</f>
        <v>0</v>
      </c>
    </row>
    <row r="862" spans="1:15" x14ac:dyDescent="0.25">
      <c r="A862" s="85"/>
      <c r="B862" s="403"/>
      <c r="C862" s="393"/>
      <c r="D862" s="94" t="s">
        <v>189</v>
      </c>
      <c r="E862" s="95"/>
      <c r="F862" s="96"/>
      <c r="G862" s="95"/>
      <c r="H862" s="96"/>
      <c r="I862" s="93"/>
      <c r="J862" s="93"/>
      <c r="K862" s="93"/>
      <c r="L862" s="384"/>
      <c r="M862" s="90">
        <f t="shared" si="215"/>
        <v>0</v>
      </c>
      <c r="N862" s="98"/>
      <c r="O862" s="92">
        <f>L856</f>
        <v>243977.8</v>
      </c>
    </row>
    <row r="863" spans="1:15" ht="16.2" thickBot="1" x14ac:dyDescent="0.35">
      <c r="B863" s="404"/>
      <c r="C863" s="394"/>
      <c r="D863" s="123" t="s">
        <v>38</v>
      </c>
      <c r="E863" s="124"/>
      <c r="F863" s="125"/>
      <c r="G863" s="124"/>
      <c r="H863" s="125"/>
      <c r="I863" s="126"/>
      <c r="J863" s="126"/>
      <c r="K863" s="126"/>
      <c r="L863" s="127"/>
      <c r="M863" s="127"/>
      <c r="N863" s="128"/>
      <c r="O863" s="107">
        <f>SUM(O856:O862)</f>
        <v>258977.8</v>
      </c>
    </row>
    <row r="864" spans="1:15" ht="15.6" x14ac:dyDescent="0.3">
      <c r="B864" s="151"/>
      <c r="C864" s="137"/>
      <c r="D864" s="112"/>
      <c r="E864" s="138"/>
      <c r="F864" s="139"/>
      <c r="G864" s="138"/>
      <c r="H864" s="139"/>
      <c r="L864" s="140"/>
      <c r="M864" s="140"/>
      <c r="N864" s="141"/>
      <c r="O864" s="142"/>
    </row>
    <row r="865" spans="1:15" ht="31.8" thickBot="1" x14ac:dyDescent="0.3">
      <c r="A865" s="93"/>
      <c r="B865" s="143" t="s">
        <v>0</v>
      </c>
      <c r="C865" s="144" t="s">
        <v>1</v>
      </c>
      <c r="D865" s="143"/>
      <c r="E865" s="144" t="s">
        <v>198</v>
      </c>
      <c r="F865" s="145" t="s">
        <v>194</v>
      </c>
      <c r="G865" s="144" t="s">
        <v>196</v>
      </c>
      <c r="H865" s="145" t="s">
        <v>9</v>
      </c>
      <c r="I865" s="143" t="s">
        <v>2</v>
      </c>
      <c r="J865" s="144" t="s">
        <v>10</v>
      </c>
      <c r="K865" s="144" t="s">
        <v>13</v>
      </c>
      <c r="L865" s="144" t="s">
        <v>14</v>
      </c>
      <c r="M865" s="146" t="s">
        <v>15</v>
      </c>
      <c r="N865" s="147" t="s">
        <v>11</v>
      </c>
      <c r="O865" s="148" t="s">
        <v>12</v>
      </c>
    </row>
    <row r="866" spans="1:15" ht="15.6" thickBot="1" x14ac:dyDescent="0.3">
      <c r="A866" s="85">
        <v>1</v>
      </c>
      <c r="B866" s="402" t="s">
        <v>167</v>
      </c>
      <c r="C866" s="392">
        <v>1501</v>
      </c>
      <c r="D866" s="87" t="s">
        <v>35</v>
      </c>
      <c r="E866" s="88">
        <v>539.1</v>
      </c>
      <c r="F866" s="171">
        <v>46163</v>
      </c>
      <c r="G866" s="88">
        <v>582</v>
      </c>
      <c r="H866" s="171">
        <v>46197</v>
      </c>
      <c r="I866" s="86">
        <f>G866-E866</f>
        <v>42.899999999999977</v>
      </c>
      <c r="J866" s="86"/>
      <c r="K866" s="86">
        <v>257</v>
      </c>
      <c r="L866" s="382">
        <v>269.39999999999998</v>
      </c>
      <c r="M866" s="90">
        <f t="shared" ref="M866:M872" si="217">I866*K866+J866</f>
        <v>11025.299999999994</v>
      </c>
      <c r="N866" s="91">
        <v>0</v>
      </c>
      <c r="O866" s="92">
        <f t="shared" ref="O866:O867" si="218">M866-N866</f>
        <v>11025.299999999994</v>
      </c>
    </row>
    <row r="867" spans="1:15" ht="15.6" thickBot="1" x14ac:dyDescent="0.3">
      <c r="A867" s="85"/>
      <c r="B867" s="403"/>
      <c r="C867" s="393"/>
      <c r="D867" s="94" t="s">
        <v>36</v>
      </c>
      <c r="E867" s="156">
        <v>32</v>
      </c>
      <c r="F867" s="171">
        <v>46163</v>
      </c>
      <c r="G867" s="156">
        <v>37</v>
      </c>
      <c r="H867" s="171">
        <v>46197</v>
      </c>
      <c r="I867" s="86">
        <f>G867-E867</f>
        <v>5</v>
      </c>
      <c r="J867" s="86">
        <v>1000</v>
      </c>
      <c r="K867" s="93">
        <v>1200</v>
      </c>
      <c r="L867" s="383"/>
      <c r="M867" s="267">
        <f t="shared" si="217"/>
        <v>7000</v>
      </c>
      <c r="N867" s="98"/>
      <c r="O867" s="92">
        <f t="shared" si="218"/>
        <v>7000</v>
      </c>
    </row>
    <row r="868" spans="1:15" ht="15.6" thickBot="1" x14ac:dyDescent="0.3">
      <c r="A868" s="85"/>
      <c r="B868" s="403"/>
      <c r="C868" s="393"/>
      <c r="D868" s="117" t="s">
        <v>37</v>
      </c>
      <c r="E868" s="118"/>
      <c r="F868" s="119"/>
      <c r="G868" s="118"/>
      <c r="H868" s="119"/>
      <c r="I868" s="120">
        <v>1</v>
      </c>
      <c r="J868" s="120"/>
      <c r="K868" s="120">
        <v>25000</v>
      </c>
      <c r="L868" s="383"/>
      <c r="M868" s="90">
        <f t="shared" si="217"/>
        <v>25000</v>
      </c>
      <c r="N868" s="99"/>
      <c r="O868" s="92">
        <f t="shared" ref="O868:O871" si="219">M868+L868-N868</f>
        <v>25000</v>
      </c>
    </row>
    <row r="869" spans="1:15" ht="15.6" thickBot="1" x14ac:dyDescent="0.3">
      <c r="A869" s="85"/>
      <c r="B869" s="403"/>
      <c r="C869" s="393"/>
      <c r="D869" s="94" t="s">
        <v>90</v>
      </c>
      <c r="E869" s="95"/>
      <c r="F869" s="96"/>
      <c r="G869" s="95"/>
      <c r="H869" s="96"/>
      <c r="I869" s="93"/>
      <c r="J869" s="93"/>
      <c r="K869" s="93">
        <v>0</v>
      </c>
      <c r="L869" s="383"/>
      <c r="M869" s="90">
        <f t="shared" si="217"/>
        <v>0</v>
      </c>
      <c r="N869" s="98"/>
      <c r="O869" s="92">
        <f t="shared" si="219"/>
        <v>0</v>
      </c>
    </row>
    <row r="870" spans="1:15" ht="15.6" thickBot="1" x14ac:dyDescent="0.3">
      <c r="A870" s="85"/>
      <c r="B870" s="403"/>
      <c r="C870" s="393"/>
      <c r="D870" s="94" t="s">
        <v>91</v>
      </c>
      <c r="E870" s="95"/>
      <c r="F870" s="96"/>
      <c r="G870" s="95"/>
      <c r="H870" s="96"/>
      <c r="I870" s="93">
        <v>1</v>
      </c>
      <c r="J870" s="93"/>
      <c r="K870" s="93">
        <v>2000</v>
      </c>
      <c r="L870" s="383"/>
      <c r="M870" s="90">
        <f t="shared" si="217"/>
        <v>2000</v>
      </c>
      <c r="N870" s="98"/>
      <c r="O870" s="92">
        <f t="shared" si="219"/>
        <v>2000</v>
      </c>
    </row>
    <row r="871" spans="1:15" ht="30.6" thickBot="1" x14ac:dyDescent="0.3">
      <c r="A871" s="85"/>
      <c r="B871" s="403"/>
      <c r="C871" s="393"/>
      <c r="D871" s="94" t="s">
        <v>92</v>
      </c>
      <c r="E871" s="95"/>
      <c r="F871" s="96"/>
      <c r="G871" s="95"/>
      <c r="H871" s="96"/>
      <c r="I871" s="93"/>
      <c r="J871" s="93"/>
      <c r="K871" s="93">
        <v>0</v>
      </c>
      <c r="L871" s="383"/>
      <c r="M871" s="90">
        <f t="shared" si="217"/>
        <v>0</v>
      </c>
      <c r="N871" s="98"/>
      <c r="O871" s="92">
        <f t="shared" si="219"/>
        <v>0</v>
      </c>
    </row>
    <row r="872" spans="1:15" x14ac:dyDescent="0.25">
      <c r="A872" s="85"/>
      <c r="B872" s="403"/>
      <c r="C872" s="393"/>
      <c r="D872" s="94" t="s">
        <v>189</v>
      </c>
      <c r="E872" s="95"/>
      <c r="F872" s="96"/>
      <c r="G872" s="95"/>
      <c r="H872" s="96"/>
      <c r="I872" s="93"/>
      <c r="J872" s="93"/>
      <c r="K872" s="93"/>
      <c r="L872" s="384"/>
      <c r="M872" s="90">
        <f t="shared" si="217"/>
        <v>0</v>
      </c>
      <c r="N872" s="98"/>
      <c r="O872" s="92">
        <f>L866</f>
        <v>269.39999999999998</v>
      </c>
    </row>
    <row r="873" spans="1:15" ht="16.2" thickBot="1" x14ac:dyDescent="0.35">
      <c r="B873" s="404"/>
      <c r="C873" s="394"/>
      <c r="D873" s="123" t="s">
        <v>38</v>
      </c>
      <c r="E873" s="124"/>
      <c r="F873" s="125"/>
      <c r="G873" s="124"/>
      <c r="H873" s="125"/>
      <c r="I873" s="126"/>
      <c r="J873" s="126"/>
      <c r="K873" s="126"/>
      <c r="L873" s="127"/>
      <c r="M873" s="127"/>
      <c r="N873" s="128"/>
      <c r="O873" s="107">
        <f>SUM(O866:O872)</f>
        <v>45294.7</v>
      </c>
    </row>
    <row r="874" spans="1:15" ht="15.6" x14ac:dyDescent="0.3">
      <c r="B874" s="70"/>
      <c r="E874" s="138"/>
      <c r="F874" s="139"/>
      <c r="G874" s="138"/>
      <c r="H874" s="139"/>
      <c r="L874" s="140"/>
      <c r="M874" s="140"/>
      <c r="N874" s="141"/>
      <c r="O874" s="142"/>
    </row>
    <row r="876" spans="1:15" ht="31.8" thickBot="1" x14ac:dyDescent="0.3">
      <c r="A876" s="93"/>
      <c r="B876" s="143" t="s">
        <v>0</v>
      </c>
      <c r="C876" s="144" t="s">
        <v>1</v>
      </c>
      <c r="D876" s="143"/>
      <c r="E876" s="144" t="s">
        <v>198</v>
      </c>
      <c r="F876" s="145" t="s">
        <v>194</v>
      </c>
      <c r="G876" s="144" t="s">
        <v>196</v>
      </c>
      <c r="H876" s="145" t="s">
        <v>9</v>
      </c>
      <c r="I876" s="143" t="s">
        <v>2</v>
      </c>
      <c r="J876" s="144" t="s">
        <v>10</v>
      </c>
      <c r="K876" s="144" t="s">
        <v>13</v>
      </c>
      <c r="L876" s="144" t="s">
        <v>14</v>
      </c>
      <c r="M876" s="146" t="s">
        <v>15</v>
      </c>
      <c r="N876" s="147" t="s">
        <v>11</v>
      </c>
      <c r="O876" s="148" t="s">
        <v>12</v>
      </c>
    </row>
    <row r="877" spans="1:15" ht="15.6" thickBot="1" x14ac:dyDescent="0.3">
      <c r="A877" s="85">
        <v>1</v>
      </c>
      <c r="B877" s="402" t="s">
        <v>168</v>
      </c>
      <c r="C877" s="392">
        <v>1503</v>
      </c>
      <c r="D877" s="87" t="s">
        <v>35</v>
      </c>
      <c r="E877" s="88">
        <v>6176.7</v>
      </c>
      <c r="F877" s="171">
        <v>46163</v>
      </c>
      <c r="G877" s="88">
        <v>6430.4</v>
      </c>
      <c r="H877" s="171">
        <v>46197</v>
      </c>
      <c r="I877" s="343">
        <f>G877-E877</f>
        <v>253.69999999999982</v>
      </c>
      <c r="J877" s="86"/>
      <c r="K877" s="86">
        <v>257</v>
      </c>
      <c r="L877" s="382">
        <v>280.60000000000002</v>
      </c>
      <c r="M877" s="90">
        <f t="shared" ref="M877:M883" si="220">I877*K877+J877</f>
        <v>65200.899999999951</v>
      </c>
      <c r="N877" s="91">
        <v>0</v>
      </c>
      <c r="O877" s="92">
        <f t="shared" ref="O877:O878" si="221">M877-N877</f>
        <v>65200.899999999951</v>
      </c>
    </row>
    <row r="878" spans="1:15" ht="15.6" thickBot="1" x14ac:dyDescent="0.3">
      <c r="A878" s="85"/>
      <c r="B878" s="403"/>
      <c r="C878" s="393"/>
      <c r="D878" s="94" t="s">
        <v>36</v>
      </c>
      <c r="E878" s="95">
        <v>412</v>
      </c>
      <c r="F878" s="171">
        <v>46163</v>
      </c>
      <c r="G878" s="95">
        <v>420</v>
      </c>
      <c r="H878" s="171">
        <v>46197</v>
      </c>
      <c r="I878" s="86">
        <f>G878-E878</f>
        <v>8</v>
      </c>
      <c r="J878" s="86">
        <v>1000</v>
      </c>
      <c r="K878" s="93">
        <v>1200</v>
      </c>
      <c r="L878" s="383"/>
      <c r="M878" s="90">
        <f t="shared" si="220"/>
        <v>10600</v>
      </c>
      <c r="N878" s="98"/>
      <c r="O878" s="92">
        <f t="shared" si="221"/>
        <v>10600</v>
      </c>
    </row>
    <row r="879" spans="1:15" ht="15.6" thickBot="1" x14ac:dyDescent="0.3">
      <c r="A879" s="85"/>
      <c r="B879" s="403"/>
      <c r="C879" s="393"/>
      <c r="D879" s="117" t="s">
        <v>37</v>
      </c>
      <c r="E879" s="118"/>
      <c r="F879" s="119"/>
      <c r="G879" s="118"/>
      <c r="H879" s="119"/>
      <c r="I879" s="120">
        <v>1</v>
      </c>
      <c r="J879" s="120"/>
      <c r="K879" s="120">
        <v>25000</v>
      </c>
      <c r="L879" s="383"/>
      <c r="M879" s="90">
        <f t="shared" si="220"/>
        <v>25000</v>
      </c>
      <c r="N879" s="99"/>
      <c r="O879" s="92">
        <f t="shared" ref="O879:O882" si="222">M879+L879-N879</f>
        <v>25000</v>
      </c>
    </row>
    <row r="880" spans="1:15" ht="15.6" thickBot="1" x14ac:dyDescent="0.3">
      <c r="A880" s="85"/>
      <c r="B880" s="403"/>
      <c r="C880" s="393"/>
      <c r="D880" s="94" t="s">
        <v>90</v>
      </c>
      <c r="E880" s="95"/>
      <c r="F880" s="96"/>
      <c r="G880" s="95"/>
      <c r="H880" s="96"/>
      <c r="I880" s="93"/>
      <c r="J880" s="93"/>
      <c r="K880" s="93">
        <v>0</v>
      </c>
      <c r="L880" s="383"/>
      <c r="M880" s="90">
        <f t="shared" si="220"/>
        <v>0</v>
      </c>
      <c r="N880" s="98"/>
      <c r="O880" s="92">
        <f t="shared" si="222"/>
        <v>0</v>
      </c>
    </row>
    <row r="881" spans="1:15" ht="15.6" thickBot="1" x14ac:dyDescent="0.3">
      <c r="A881" s="85"/>
      <c r="B881" s="403"/>
      <c r="C881" s="393"/>
      <c r="D881" s="94" t="s">
        <v>91</v>
      </c>
      <c r="E881" s="95"/>
      <c r="F881" s="96"/>
      <c r="G881" s="95"/>
      <c r="H881" s="96"/>
      <c r="I881" s="93">
        <v>1</v>
      </c>
      <c r="J881" s="93"/>
      <c r="K881" s="93">
        <v>2000</v>
      </c>
      <c r="L881" s="383"/>
      <c r="M881" s="90">
        <f t="shared" si="220"/>
        <v>2000</v>
      </c>
      <c r="N881" s="98"/>
      <c r="O881" s="92">
        <f t="shared" si="222"/>
        <v>2000</v>
      </c>
    </row>
    <row r="882" spans="1:15" ht="30.6" thickBot="1" x14ac:dyDescent="0.3">
      <c r="A882" s="85"/>
      <c r="B882" s="403"/>
      <c r="C882" s="393"/>
      <c r="D882" s="94" t="s">
        <v>92</v>
      </c>
      <c r="E882" s="95"/>
      <c r="F882" s="96"/>
      <c r="G882" s="95"/>
      <c r="H882" s="96"/>
      <c r="I882" s="93">
        <v>0</v>
      </c>
      <c r="J882" s="93"/>
      <c r="K882" s="93">
        <v>0</v>
      </c>
      <c r="L882" s="383"/>
      <c r="M882" s="90">
        <f t="shared" si="220"/>
        <v>0</v>
      </c>
      <c r="N882" s="98"/>
      <c r="O882" s="92">
        <f t="shared" si="222"/>
        <v>0</v>
      </c>
    </row>
    <row r="883" spans="1:15" x14ac:dyDescent="0.25">
      <c r="A883" s="85"/>
      <c r="B883" s="403"/>
      <c r="C883" s="393"/>
      <c r="D883" s="94" t="s">
        <v>189</v>
      </c>
      <c r="E883" s="95"/>
      <c r="F883" s="96"/>
      <c r="G883" s="95"/>
      <c r="H883" s="96"/>
      <c r="I883" s="93"/>
      <c r="J883" s="93"/>
      <c r="K883" s="93"/>
      <c r="L883" s="384"/>
      <c r="M883" s="90">
        <f t="shared" si="220"/>
        <v>0</v>
      </c>
      <c r="N883" s="98"/>
      <c r="O883" s="92">
        <f>L877</f>
        <v>280.60000000000002</v>
      </c>
    </row>
    <row r="884" spans="1:15" ht="16.2" thickBot="1" x14ac:dyDescent="0.35">
      <c r="B884" s="404"/>
      <c r="C884" s="394"/>
      <c r="D884" s="123" t="s">
        <v>38</v>
      </c>
      <c r="E884" s="124"/>
      <c r="F884" s="125"/>
      <c r="G884" s="124"/>
      <c r="H884" s="125"/>
      <c r="I884" s="126"/>
      <c r="J884" s="126"/>
      <c r="K884" s="126"/>
      <c r="L884" s="127" t="s">
        <v>88</v>
      </c>
      <c r="M884" s="127"/>
      <c r="N884" s="128"/>
      <c r="O884" s="107">
        <f>SUM(O877:O883)</f>
        <v>103081.49999999996</v>
      </c>
    </row>
    <row r="885" spans="1:15" ht="15.6" x14ac:dyDescent="0.3">
      <c r="B885" s="151"/>
      <c r="C885" s="137"/>
      <c r="D885" s="112"/>
      <c r="E885" s="138"/>
      <c r="F885" s="139"/>
      <c r="G885" s="138"/>
      <c r="H885" s="139"/>
      <c r="L885" s="140"/>
      <c r="M885" s="140"/>
      <c r="N885" s="141"/>
      <c r="O885" s="142"/>
    </row>
    <row r="886" spans="1:15" ht="31.8" thickBot="1" x14ac:dyDescent="0.3">
      <c r="A886" s="93"/>
      <c r="B886" s="143" t="s">
        <v>0</v>
      </c>
      <c r="C886" s="144" t="s">
        <v>1</v>
      </c>
      <c r="D886" s="143"/>
      <c r="E886" s="144" t="s">
        <v>198</v>
      </c>
      <c r="F886" s="145" t="s">
        <v>194</v>
      </c>
      <c r="G886" s="144" t="s">
        <v>196</v>
      </c>
      <c r="H886" s="145" t="s">
        <v>9</v>
      </c>
      <c r="I886" s="143" t="s">
        <v>2</v>
      </c>
      <c r="J886" s="144" t="s">
        <v>10</v>
      </c>
      <c r="K886" s="144" t="s">
        <v>13</v>
      </c>
      <c r="L886" s="144" t="s">
        <v>14</v>
      </c>
      <c r="M886" s="146" t="s">
        <v>15</v>
      </c>
      <c r="N886" s="147" t="s">
        <v>11</v>
      </c>
      <c r="O886" s="148" t="s">
        <v>12</v>
      </c>
    </row>
    <row r="887" spans="1:15" ht="15.6" thickBot="1" x14ac:dyDescent="0.3">
      <c r="A887" s="85">
        <v>1</v>
      </c>
      <c r="B887" s="402" t="s">
        <v>173</v>
      </c>
      <c r="C887" s="392">
        <v>1504</v>
      </c>
      <c r="D887" s="87" t="s">
        <v>35</v>
      </c>
      <c r="E887" s="88">
        <v>497.2</v>
      </c>
      <c r="F887" s="171">
        <v>46163</v>
      </c>
      <c r="G887" s="88">
        <v>545.5</v>
      </c>
      <c r="H887" s="171">
        <v>46197</v>
      </c>
      <c r="I887" s="86">
        <f>G887-E887</f>
        <v>48.300000000000011</v>
      </c>
      <c r="J887" s="86"/>
      <c r="K887" s="86">
        <v>257</v>
      </c>
      <c r="L887" s="382">
        <v>0.4</v>
      </c>
      <c r="M887" s="90">
        <f t="shared" ref="M887:M893" si="223">I887*K887+J887</f>
        <v>12413.100000000002</v>
      </c>
      <c r="N887" s="91">
        <v>0</v>
      </c>
      <c r="O887" s="92">
        <f t="shared" ref="O887:O888" si="224">M887-N887</f>
        <v>12413.100000000002</v>
      </c>
    </row>
    <row r="888" spans="1:15" ht="15.6" thickBot="1" x14ac:dyDescent="0.3">
      <c r="A888" s="85"/>
      <c r="B888" s="403"/>
      <c r="C888" s="393"/>
      <c r="D888" s="94" t="s">
        <v>36</v>
      </c>
      <c r="E888" s="95">
        <v>677</v>
      </c>
      <c r="F888" s="171">
        <v>46163</v>
      </c>
      <c r="G888" s="95">
        <v>706</v>
      </c>
      <c r="H888" s="171">
        <v>46197</v>
      </c>
      <c r="I888" s="86">
        <f>G888-E888</f>
        <v>29</v>
      </c>
      <c r="J888" s="86">
        <v>1000</v>
      </c>
      <c r="K888" s="93">
        <v>1200</v>
      </c>
      <c r="L888" s="383"/>
      <c r="M888" s="90">
        <f t="shared" si="223"/>
        <v>35800</v>
      </c>
      <c r="N888" s="98"/>
      <c r="O888" s="92">
        <f t="shared" si="224"/>
        <v>35800</v>
      </c>
    </row>
    <row r="889" spans="1:15" ht="15.6" thickBot="1" x14ac:dyDescent="0.3">
      <c r="A889" s="85"/>
      <c r="B889" s="403"/>
      <c r="C889" s="393"/>
      <c r="D889" s="117" t="s">
        <v>37</v>
      </c>
      <c r="E889" s="118"/>
      <c r="F889" s="119"/>
      <c r="G889" s="118"/>
      <c r="H889" s="119"/>
      <c r="I889" s="120">
        <v>1</v>
      </c>
      <c r="J889" s="120"/>
      <c r="K889" s="120">
        <v>25000</v>
      </c>
      <c r="L889" s="383"/>
      <c r="M889" s="90">
        <f t="shared" si="223"/>
        <v>25000</v>
      </c>
      <c r="N889" s="99"/>
      <c r="O889" s="92">
        <f t="shared" ref="O889:O892" si="225">M889+L889-N889</f>
        <v>25000</v>
      </c>
    </row>
    <row r="890" spans="1:15" ht="15.6" thickBot="1" x14ac:dyDescent="0.3">
      <c r="A890" s="85"/>
      <c r="B890" s="403"/>
      <c r="C890" s="393"/>
      <c r="D890" s="94" t="s">
        <v>90</v>
      </c>
      <c r="E890" s="95"/>
      <c r="F890" s="96"/>
      <c r="G890" s="95"/>
      <c r="H890" s="96"/>
      <c r="I890" s="93"/>
      <c r="J890" s="93"/>
      <c r="K890" s="93">
        <v>0</v>
      </c>
      <c r="L890" s="383"/>
      <c r="M890" s="90">
        <f t="shared" si="223"/>
        <v>0</v>
      </c>
      <c r="N890" s="98"/>
      <c r="O890" s="92">
        <f t="shared" si="225"/>
        <v>0</v>
      </c>
    </row>
    <row r="891" spans="1:15" ht="15.6" thickBot="1" x14ac:dyDescent="0.3">
      <c r="A891" s="85"/>
      <c r="B891" s="403"/>
      <c r="C891" s="393"/>
      <c r="D891" s="94" t="s">
        <v>91</v>
      </c>
      <c r="E891" s="95"/>
      <c r="F891" s="96"/>
      <c r="G891" s="95"/>
      <c r="H891" s="96"/>
      <c r="I891" s="93">
        <v>1</v>
      </c>
      <c r="J891" s="93"/>
      <c r="K891" s="93">
        <v>2000</v>
      </c>
      <c r="L891" s="383"/>
      <c r="M891" s="90">
        <f t="shared" si="223"/>
        <v>2000</v>
      </c>
      <c r="N891" s="98"/>
      <c r="O891" s="92">
        <f t="shared" si="225"/>
        <v>2000</v>
      </c>
    </row>
    <row r="892" spans="1:15" ht="30.6" thickBot="1" x14ac:dyDescent="0.3">
      <c r="A892" s="85"/>
      <c r="B892" s="403"/>
      <c r="C892" s="393"/>
      <c r="D892" s="94" t="s">
        <v>92</v>
      </c>
      <c r="E892" s="95"/>
      <c r="F892" s="96"/>
      <c r="G892" s="95"/>
      <c r="H892" s="96"/>
      <c r="I892" s="93">
        <v>0</v>
      </c>
      <c r="J892" s="93"/>
      <c r="K892" s="93">
        <v>0</v>
      </c>
      <c r="L892" s="383"/>
      <c r="M892" s="90">
        <f t="shared" si="223"/>
        <v>0</v>
      </c>
      <c r="N892" s="98"/>
      <c r="O892" s="92">
        <f t="shared" si="225"/>
        <v>0</v>
      </c>
    </row>
    <row r="893" spans="1:15" x14ac:dyDescent="0.25">
      <c r="A893" s="85"/>
      <c r="B893" s="403"/>
      <c r="C893" s="393"/>
      <c r="D893" s="94" t="s">
        <v>189</v>
      </c>
      <c r="E893" s="95"/>
      <c r="F893" s="96"/>
      <c r="G893" s="95"/>
      <c r="H893" s="96"/>
      <c r="I893" s="93"/>
      <c r="J893" s="93"/>
      <c r="K893" s="93"/>
      <c r="L893" s="384"/>
      <c r="M893" s="90">
        <f t="shared" si="223"/>
        <v>0</v>
      </c>
      <c r="N893" s="98"/>
      <c r="O893" s="92">
        <f>L887</f>
        <v>0.4</v>
      </c>
    </row>
    <row r="894" spans="1:15" ht="16.2" thickBot="1" x14ac:dyDescent="0.35">
      <c r="B894" s="404"/>
      <c r="C894" s="394"/>
      <c r="D894" s="123" t="s">
        <v>38</v>
      </c>
      <c r="E894" s="124"/>
      <c r="F894" s="125"/>
      <c r="G894" s="124"/>
      <c r="H894" s="125"/>
      <c r="I894" s="126"/>
      <c r="J894" s="126"/>
      <c r="K894" s="126"/>
      <c r="L894" s="127"/>
      <c r="M894" s="127"/>
      <c r="N894" s="128"/>
      <c r="O894" s="107">
        <f>SUM(O887:O893)</f>
        <v>75213.5</v>
      </c>
    </row>
    <row r="895" spans="1:15" ht="15.6" x14ac:dyDescent="0.3">
      <c r="B895" s="151"/>
      <c r="C895" s="137"/>
      <c r="D895" s="112"/>
      <c r="E895" s="138"/>
      <c r="F895" s="139"/>
      <c r="G895" s="138"/>
      <c r="H895" s="139"/>
      <c r="L895" s="140"/>
      <c r="M895" s="140"/>
      <c r="N895" s="141"/>
      <c r="O895" s="142"/>
    </row>
    <row r="896" spans="1:15" ht="31.8" thickBot="1" x14ac:dyDescent="0.3">
      <c r="A896" s="93"/>
      <c r="B896" s="143" t="s">
        <v>0</v>
      </c>
      <c r="C896" s="144" t="s">
        <v>1</v>
      </c>
      <c r="D896" s="143"/>
      <c r="E896" s="144" t="s">
        <v>198</v>
      </c>
      <c r="F896" s="145" t="s">
        <v>194</v>
      </c>
      <c r="G896" s="144" t="s">
        <v>196</v>
      </c>
      <c r="H896" s="145" t="s">
        <v>9</v>
      </c>
      <c r="I896" s="143" t="s">
        <v>2</v>
      </c>
      <c r="J896" s="144" t="s">
        <v>10</v>
      </c>
      <c r="K896" s="144" t="s">
        <v>13</v>
      </c>
      <c r="L896" s="144" t="s">
        <v>14</v>
      </c>
      <c r="M896" s="146" t="s">
        <v>15</v>
      </c>
      <c r="N896" s="147" t="s">
        <v>11</v>
      </c>
      <c r="O896" s="148" t="s">
        <v>12</v>
      </c>
    </row>
    <row r="897" spans="1:15" ht="15.6" thickBot="1" x14ac:dyDescent="0.3">
      <c r="A897" s="85">
        <v>1</v>
      </c>
      <c r="B897" s="402" t="s">
        <v>169</v>
      </c>
      <c r="C897" s="392">
        <v>1506</v>
      </c>
      <c r="D897" s="87" t="s">
        <v>35</v>
      </c>
      <c r="E897" s="88">
        <v>2095.6999999999998</v>
      </c>
      <c r="F897" s="171">
        <v>46163</v>
      </c>
      <c r="G897" s="88">
        <v>2197.6</v>
      </c>
      <c r="H897" s="171">
        <v>46197</v>
      </c>
      <c r="I897" s="86">
        <f>G897-E897</f>
        <v>101.90000000000009</v>
      </c>
      <c r="J897" s="86"/>
      <c r="K897" s="86">
        <v>257</v>
      </c>
      <c r="L897" s="382">
        <v>87857.9</v>
      </c>
      <c r="M897" s="90">
        <f t="shared" ref="M897:M903" si="226">I897*K897+J897</f>
        <v>26188.300000000025</v>
      </c>
      <c r="N897" s="91">
        <v>0</v>
      </c>
      <c r="O897" s="92">
        <f t="shared" ref="O897:O898" si="227">M897-N897</f>
        <v>26188.300000000025</v>
      </c>
    </row>
    <row r="898" spans="1:15" ht="15.6" thickBot="1" x14ac:dyDescent="0.3">
      <c r="A898" s="85"/>
      <c r="B898" s="403"/>
      <c r="C898" s="393"/>
      <c r="D898" s="94" t="s">
        <v>36</v>
      </c>
      <c r="E898" s="95">
        <v>237</v>
      </c>
      <c r="F898" s="171">
        <v>46163</v>
      </c>
      <c r="G898" s="95">
        <v>240</v>
      </c>
      <c r="H898" s="171">
        <v>46197</v>
      </c>
      <c r="I898" s="86">
        <f>G898-E898</f>
        <v>3</v>
      </c>
      <c r="J898" s="86">
        <v>1000</v>
      </c>
      <c r="K898" s="93">
        <v>1200</v>
      </c>
      <c r="L898" s="383"/>
      <c r="M898" s="90">
        <f t="shared" si="226"/>
        <v>4600</v>
      </c>
      <c r="N898" s="98"/>
      <c r="O898" s="92">
        <f t="shared" si="227"/>
        <v>4600</v>
      </c>
    </row>
    <row r="899" spans="1:15" ht="15.6" thickBot="1" x14ac:dyDescent="0.3">
      <c r="A899" s="85"/>
      <c r="B899" s="403"/>
      <c r="C899" s="393"/>
      <c r="D899" s="117" t="s">
        <v>37</v>
      </c>
      <c r="E899" s="118"/>
      <c r="F899" s="119"/>
      <c r="G899" s="118"/>
      <c r="H899" s="119"/>
      <c r="I899" s="120">
        <v>1</v>
      </c>
      <c r="J899" s="120"/>
      <c r="K899" s="120">
        <v>25000</v>
      </c>
      <c r="L899" s="383"/>
      <c r="M899" s="90">
        <f t="shared" si="226"/>
        <v>25000</v>
      </c>
      <c r="N899" s="99"/>
      <c r="O899" s="92">
        <f t="shared" ref="O899:O902" si="228">M899+L899-N899</f>
        <v>25000</v>
      </c>
    </row>
    <row r="900" spans="1:15" ht="15.6" thickBot="1" x14ac:dyDescent="0.3">
      <c r="A900" s="85"/>
      <c r="B900" s="403"/>
      <c r="C900" s="393"/>
      <c r="D900" s="94" t="s">
        <v>90</v>
      </c>
      <c r="E900" s="95"/>
      <c r="F900" s="96"/>
      <c r="G900" s="95"/>
      <c r="H900" s="96"/>
      <c r="I900" s="93"/>
      <c r="J900" s="93"/>
      <c r="K900" s="93">
        <v>0</v>
      </c>
      <c r="L900" s="383"/>
      <c r="M900" s="90">
        <f t="shared" si="226"/>
        <v>0</v>
      </c>
      <c r="N900" s="98"/>
      <c r="O900" s="92">
        <f t="shared" si="228"/>
        <v>0</v>
      </c>
    </row>
    <row r="901" spans="1:15" ht="15.6" thickBot="1" x14ac:dyDescent="0.3">
      <c r="A901" s="85"/>
      <c r="B901" s="403"/>
      <c r="C901" s="393"/>
      <c r="D901" s="94" t="s">
        <v>91</v>
      </c>
      <c r="E901" s="95"/>
      <c r="F901" s="96"/>
      <c r="G901" s="95"/>
      <c r="H901" s="96"/>
      <c r="I901" s="93">
        <v>1</v>
      </c>
      <c r="J901" s="93"/>
      <c r="K901" s="93">
        <v>2000</v>
      </c>
      <c r="L901" s="383"/>
      <c r="M901" s="90">
        <f t="shared" si="226"/>
        <v>2000</v>
      </c>
      <c r="N901" s="98"/>
      <c r="O901" s="92">
        <f t="shared" si="228"/>
        <v>2000</v>
      </c>
    </row>
    <row r="902" spans="1:15" ht="30.6" thickBot="1" x14ac:dyDescent="0.3">
      <c r="A902" s="85"/>
      <c r="B902" s="403"/>
      <c r="C902" s="393"/>
      <c r="D902" s="94" t="s">
        <v>92</v>
      </c>
      <c r="E902" s="95"/>
      <c r="F902" s="96"/>
      <c r="G902" s="95"/>
      <c r="H902" s="96"/>
      <c r="I902" s="93">
        <v>0</v>
      </c>
      <c r="J902" s="93"/>
      <c r="K902" s="93">
        <v>0</v>
      </c>
      <c r="L902" s="383"/>
      <c r="M902" s="90">
        <f t="shared" si="226"/>
        <v>0</v>
      </c>
      <c r="N902" s="98"/>
      <c r="O902" s="92">
        <f t="shared" si="228"/>
        <v>0</v>
      </c>
    </row>
    <row r="903" spans="1:15" x14ac:dyDescent="0.25">
      <c r="A903" s="85"/>
      <c r="B903" s="403"/>
      <c r="C903" s="393"/>
      <c r="D903" s="94" t="s">
        <v>189</v>
      </c>
      <c r="E903" s="95"/>
      <c r="F903" s="96"/>
      <c r="G903" s="95"/>
      <c r="H903" s="96"/>
      <c r="I903" s="93"/>
      <c r="J903" s="93"/>
      <c r="K903" s="93"/>
      <c r="L903" s="384"/>
      <c r="M903" s="90">
        <f t="shared" si="226"/>
        <v>0</v>
      </c>
      <c r="N903" s="98"/>
      <c r="O903" s="92">
        <f>L897</f>
        <v>87857.9</v>
      </c>
    </row>
    <row r="904" spans="1:15" ht="16.2" thickBot="1" x14ac:dyDescent="0.35">
      <c r="B904" s="404"/>
      <c r="C904" s="394"/>
      <c r="D904" s="123" t="s">
        <v>38</v>
      </c>
      <c r="E904" s="124"/>
      <c r="F904" s="125"/>
      <c r="G904" s="124"/>
      <c r="H904" s="125"/>
      <c r="I904" s="126"/>
      <c r="J904" s="126"/>
      <c r="K904" s="126"/>
      <c r="L904" s="127"/>
      <c r="M904" s="127"/>
      <c r="N904" s="128"/>
      <c r="O904" s="107">
        <f>SUM(O897:O903)</f>
        <v>145646.20000000001</v>
      </c>
    </row>
    <row r="907" spans="1:15" ht="15.6" thickBot="1" x14ac:dyDescent="0.3"/>
    <row r="908" spans="1:15" x14ac:dyDescent="0.25">
      <c r="F908" s="89">
        <v>46163</v>
      </c>
      <c r="H908" s="89">
        <v>46162</v>
      </c>
    </row>
    <row r="909" spans="1:15" x14ac:dyDescent="0.25">
      <c r="F909" s="69" t="s">
        <v>88</v>
      </c>
      <c r="H909" s="69" t="s">
        <v>88</v>
      </c>
    </row>
  </sheetData>
  <mergeCells count="232">
    <mergeCell ref="B897:B904"/>
    <mergeCell ref="C897:C904"/>
    <mergeCell ref="L897:L903"/>
    <mergeCell ref="B866:B873"/>
    <mergeCell ref="C866:C873"/>
    <mergeCell ref="L866:L872"/>
    <mergeCell ref="B877:B884"/>
    <mergeCell ref="C877:C884"/>
    <mergeCell ref="L877:L883"/>
    <mergeCell ref="B887:B894"/>
    <mergeCell ref="C887:C894"/>
    <mergeCell ref="L887:L893"/>
    <mergeCell ref="B835:B842"/>
    <mergeCell ref="C835:C842"/>
    <mergeCell ref="L835:L841"/>
    <mergeCell ref="B846:B853"/>
    <mergeCell ref="C846:C853"/>
    <mergeCell ref="L846:L852"/>
    <mergeCell ref="B856:B863"/>
    <mergeCell ref="C856:C863"/>
    <mergeCell ref="L856:L862"/>
    <mergeCell ref="L175:L181"/>
    <mergeCell ref="B184:B191"/>
    <mergeCell ref="C184:C191"/>
    <mergeCell ref="L184:L190"/>
    <mergeCell ref="L197:L203"/>
    <mergeCell ref="B208:B215"/>
    <mergeCell ref="C208:C215"/>
    <mergeCell ref="L208:L214"/>
    <mergeCell ref="B217:B224"/>
    <mergeCell ref="C217:C224"/>
    <mergeCell ref="L217:L223"/>
    <mergeCell ref="B197:B204"/>
    <mergeCell ref="C197:C204"/>
    <mergeCell ref="L113:L119"/>
    <mergeCell ref="B123:B130"/>
    <mergeCell ref="C123:C130"/>
    <mergeCell ref="L123:L129"/>
    <mergeCell ref="B135:B142"/>
    <mergeCell ref="C135:C142"/>
    <mergeCell ref="L135:L142"/>
    <mergeCell ref="B144:B151"/>
    <mergeCell ref="C144:C151"/>
    <mergeCell ref="L144:L150"/>
    <mergeCell ref="L53:L59"/>
    <mergeCell ref="B67:B74"/>
    <mergeCell ref="C67:C74"/>
    <mergeCell ref="L67:L73"/>
    <mergeCell ref="B86:B93"/>
    <mergeCell ref="C86:C93"/>
    <mergeCell ref="L86:L92"/>
    <mergeCell ref="B103:B110"/>
    <mergeCell ref="C103:C110"/>
    <mergeCell ref="L103:L109"/>
    <mergeCell ref="L12:L18"/>
    <mergeCell ref="B22:B31"/>
    <mergeCell ref="C22:C31"/>
    <mergeCell ref="L22:L28"/>
    <mergeCell ref="B33:B40"/>
    <mergeCell ref="C33:C40"/>
    <mergeCell ref="L33:L39"/>
    <mergeCell ref="B42:B49"/>
    <mergeCell ref="C42:C49"/>
    <mergeCell ref="L42:L48"/>
    <mergeCell ref="B2:B9"/>
    <mergeCell ref="C2:C9"/>
    <mergeCell ref="B12:B20"/>
    <mergeCell ref="C12:C20"/>
    <mergeCell ref="B53:B60"/>
    <mergeCell ref="C53:C60"/>
    <mergeCell ref="B154:B161"/>
    <mergeCell ref="C154:C161"/>
    <mergeCell ref="B113:B120"/>
    <mergeCell ref="C113:C120"/>
    <mergeCell ref="B166:B173"/>
    <mergeCell ref="C166:C173"/>
    <mergeCell ref="B175:B182"/>
    <mergeCell ref="C175:C182"/>
    <mergeCell ref="B228:B235"/>
    <mergeCell ref="C228:C235"/>
    <mergeCell ref="B239:B246"/>
    <mergeCell ref="C239:C246"/>
    <mergeCell ref="B248:B255"/>
    <mergeCell ref="C248:C255"/>
    <mergeCell ref="B260:B267"/>
    <mergeCell ref="C260:C267"/>
    <mergeCell ref="B270:B277"/>
    <mergeCell ref="C270:C277"/>
    <mergeCell ref="B281:B288"/>
    <mergeCell ref="C281:C288"/>
    <mergeCell ref="B292:B299"/>
    <mergeCell ref="C292:C299"/>
    <mergeCell ref="B302:B309"/>
    <mergeCell ref="C302:C309"/>
    <mergeCell ref="B311:B318"/>
    <mergeCell ref="C311:C318"/>
    <mergeCell ref="B323:B330"/>
    <mergeCell ref="C323:C330"/>
    <mergeCell ref="B334:B341"/>
    <mergeCell ref="C334:C341"/>
    <mergeCell ref="B343:B352"/>
    <mergeCell ref="C343:C352"/>
    <mergeCell ref="B354:B361"/>
    <mergeCell ref="C354:C361"/>
    <mergeCell ref="B375:B382"/>
    <mergeCell ref="C375:C382"/>
    <mergeCell ref="B390:B397"/>
    <mergeCell ref="C390:C397"/>
    <mergeCell ref="B400:B407"/>
    <mergeCell ref="C400:C407"/>
    <mergeCell ref="B426:B433"/>
    <mergeCell ref="C426:C433"/>
    <mergeCell ref="B470:B477"/>
    <mergeCell ref="C470:C477"/>
    <mergeCell ref="B493:B500"/>
    <mergeCell ref="C493:C500"/>
    <mergeCell ref="B449:B456"/>
    <mergeCell ref="C449:C456"/>
    <mergeCell ref="B459:B466"/>
    <mergeCell ref="C459:C466"/>
    <mergeCell ref="B438:B445"/>
    <mergeCell ref="C438:C445"/>
    <mergeCell ref="B480:B487"/>
    <mergeCell ref="C480:C487"/>
    <mergeCell ref="B505:B512"/>
    <mergeCell ref="C505:C512"/>
    <mergeCell ref="B520:B527"/>
    <mergeCell ref="C520:C527"/>
    <mergeCell ref="B531:B538"/>
    <mergeCell ref="C531:C538"/>
    <mergeCell ref="B541:B548"/>
    <mergeCell ref="C541:C548"/>
    <mergeCell ref="B551:B558"/>
    <mergeCell ref="C551:C558"/>
    <mergeCell ref="B561:B568"/>
    <mergeCell ref="C561:C568"/>
    <mergeCell ref="B570:B577"/>
    <mergeCell ref="C570:C577"/>
    <mergeCell ref="B582:B589"/>
    <mergeCell ref="C582:C589"/>
    <mergeCell ref="B604:B611"/>
    <mergeCell ref="C604:C611"/>
    <mergeCell ref="B614:B621"/>
    <mergeCell ref="C614:C621"/>
    <mergeCell ref="B624:B631"/>
    <mergeCell ref="C624:C631"/>
    <mergeCell ref="B673:B680"/>
    <mergeCell ref="C673:C680"/>
    <mergeCell ref="B645:B652"/>
    <mergeCell ref="C645:C652"/>
    <mergeCell ref="B654:B661"/>
    <mergeCell ref="C654:C661"/>
    <mergeCell ref="L673:L679"/>
    <mergeCell ref="B635:B642"/>
    <mergeCell ref="C635:C642"/>
    <mergeCell ref="L635:L641"/>
    <mergeCell ref="B663:B670"/>
    <mergeCell ref="C663:C670"/>
    <mergeCell ref="L663:L669"/>
    <mergeCell ref="B687:B694"/>
    <mergeCell ref="C687:C694"/>
    <mergeCell ref="B698:B705"/>
    <mergeCell ref="C698:C705"/>
    <mergeCell ref="B717:B724"/>
    <mergeCell ref="C717:C724"/>
    <mergeCell ref="B725:O725"/>
    <mergeCell ref="B727:B734"/>
    <mergeCell ref="C727:C734"/>
    <mergeCell ref="L727:L733"/>
    <mergeCell ref="B747:B754"/>
    <mergeCell ref="C747:C754"/>
    <mergeCell ref="B756:B763"/>
    <mergeCell ref="C756:C763"/>
    <mergeCell ref="B772:B779"/>
    <mergeCell ref="C772:C779"/>
    <mergeCell ref="B783:B790"/>
    <mergeCell ref="C783:C790"/>
    <mergeCell ref="B794:B801"/>
    <mergeCell ref="C794:C801"/>
    <mergeCell ref="B804:B811"/>
    <mergeCell ref="C804:C811"/>
    <mergeCell ref="B823:B830"/>
    <mergeCell ref="C823:C830"/>
    <mergeCell ref="L2:L8"/>
    <mergeCell ref="L154:L160"/>
    <mergeCell ref="L166:L172"/>
    <mergeCell ref="L228:L235"/>
    <mergeCell ref="L239:L245"/>
    <mergeCell ref="L248:L254"/>
    <mergeCell ref="L260:L266"/>
    <mergeCell ref="L270:L276"/>
    <mergeCell ref="L281:L287"/>
    <mergeCell ref="L292:L298"/>
    <mergeCell ref="L302:L308"/>
    <mergeCell ref="L311:L317"/>
    <mergeCell ref="L493:L499"/>
    <mergeCell ref="L505:L511"/>
    <mergeCell ref="L323:L329"/>
    <mergeCell ref="L334:L340"/>
    <mergeCell ref="L343:L349"/>
    <mergeCell ref="L354:L360"/>
    <mergeCell ref="L375:L381"/>
    <mergeCell ref="L390:L396"/>
    <mergeCell ref="L400:L406"/>
    <mergeCell ref="L426:L432"/>
    <mergeCell ref="L438:L444"/>
    <mergeCell ref="L480:L486"/>
    <mergeCell ref="L520:L526"/>
    <mergeCell ref="L449:L455"/>
    <mergeCell ref="L459:L465"/>
    <mergeCell ref="L470:L476"/>
    <mergeCell ref="L531:L537"/>
    <mergeCell ref="L541:L547"/>
    <mergeCell ref="L551:L557"/>
    <mergeCell ref="L645:L651"/>
    <mergeCell ref="L654:L660"/>
    <mergeCell ref="L561:L567"/>
    <mergeCell ref="L570:L576"/>
    <mergeCell ref="L582:L588"/>
    <mergeCell ref="L614:L620"/>
    <mergeCell ref="L624:L630"/>
    <mergeCell ref="L604:L610"/>
    <mergeCell ref="L823:L829"/>
    <mergeCell ref="L687:L693"/>
    <mergeCell ref="L698:L704"/>
    <mergeCell ref="L717:L723"/>
    <mergeCell ref="L747:L753"/>
    <mergeCell ref="L756:L762"/>
    <mergeCell ref="L772:L778"/>
    <mergeCell ref="L783:L789"/>
    <mergeCell ref="L794:L800"/>
    <mergeCell ref="L804:L810"/>
  </mergeCell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67"/>
  <sheetViews>
    <sheetView rightToLeft="1" topLeftCell="A154" zoomScale="84" zoomScaleNormal="84" workbookViewId="0">
      <selection activeCell="G183" sqref="G183"/>
    </sheetView>
  </sheetViews>
  <sheetFormatPr defaultRowHeight="13.8" x14ac:dyDescent="0.25"/>
  <cols>
    <col min="1" max="1" width="9.09765625" bestFit="1" customWidth="1"/>
    <col min="5" max="8" width="19.59765625" bestFit="1" customWidth="1"/>
    <col min="9" max="9" width="11.8984375" bestFit="1" customWidth="1"/>
    <col min="11" max="12" width="9.09765625" bestFit="1" customWidth="1"/>
    <col min="13" max="13" width="15.8984375" bestFit="1" customWidth="1"/>
    <col min="14" max="14" width="6.09765625" bestFit="1" customWidth="1"/>
    <col min="15" max="15" width="15" bestFit="1" customWidth="1"/>
  </cols>
  <sheetData>
    <row r="1" spans="1:15" s="74" customFormat="1" ht="15" x14ac:dyDescent="0.25"/>
    <row r="2" spans="1:15" s="74" customFormat="1" ht="15" x14ac:dyDescent="0.25"/>
    <row r="3" spans="1:15" s="74" customFormat="1" ht="15" x14ac:dyDescent="0.25">
      <c r="A3" s="69"/>
      <c r="B3" s="69"/>
      <c r="C3" s="69"/>
      <c r="D3" s="69"/>
      <c r="E3" s="70"/>
      <c r="F3" s="69"/>
      <c r="G3" s="70"/>
      <c r="H3" s="69"/>
      <c r="I3" s="69"/>
      <c r="J3" s="69"/>
      <c r="K3" s="69"/>
      <c r="L3" s="69"/>
      <c r="M3" s="71"/>
      <c r="N3" s="72"/>
      <c r="O3" s="73"/>
    </row>
    <row r="4" spans="1:15" s="74" customFormat="1" ht="15" x14ac:dyDescent="0.25">
      <c r="A4" s="69"/>
      <c r="B4" s="69"/>
      <c r="C4" s="69"/>
      <c r="D4" s="69"/>
      <c r="E4" s="70"/>
      <c r="F4" s="69"/>
      <c r="G4" s="70"/>
      <c r="H4" s="69"/>
      <c r="I4" s="69"/>
      <c r="J4" s="69"/>
      <c r="K4" s="69"/>
      <c r="L4" s="69"/>
      <c r="M4" s="71"/>
      <c r="N4" s="72"/>
      <c r="O4" s="73"/>
    </row>
    <row r="5" spans="1:15" s="74" customFormat="1" ht="31.8" thickBot="1" x14ac:dyDescent="0.3">
      <c r="A5" s="93"/>
      <c r="B5" s="143" t="s">
        <v>0</v>
      </c>
      <c r="C5" s="144"/>
      <c r="D5" s="143"/>
      <c r="E5" s="144" t="s">
        <v>198</v>
      </c>
      <c r="F5" s="145" t="s">
        <v>199</v>
      </c>
      <c r="G5" s="144" t="s">
        <v>196</v>
      </c>
      <c r="H5" s="145" t="s">
        <v>9</v>
      </c>
      <c r="I5" s="143" t="s">
        <v>2</v>
      </c>
      <c r="J5" s="144" t="s">
        <v>10</v>
      </c>
      <c r="K5" s="144" t="s">
        <v>13</v>
      </c>
      <c r="L5" s="144" t="s">
        <v>14</v>
      </c>
      <c r="M5" s="146" t="s">
        <v>15</v>
      </c>
      <c r="N5" s="147" t="s">
        <v>11</v>
      </c>
      <c r="O5" s="148" t="s">
        <v>12</v>
      </c>
    </row>
    <row r="6" spans="1:15" s="74" customFormat="1" ht="30.6" thickBot="1" x14ac:dyDescent="0.3">
      <c r="A6" s="85">
        <v>1</v>
      </c>
      <c r="B6" s="422" t="s">
        <v>170</v>
      </c>
      <c r="C6" s="392"/>
      <c r="D6" s="87" t="s">
        <v>35</v>
      </c>
      <c r="E6" s="88">
        <v>112</v>
      </c>
      <c r="F6" s="89">
        <v>46162</v>
      </c>
      <c r="G6" s="88">
        <v>112</v>
      </c>
      <c r="H6" s="89">
        <v>46197</v>
      </c>
      <c r="I6" s="309">
        <f>G6-E6</f>
        <v>0</v>
      </c>
      <c r="J6" s="86"/>
      <c r="K6" s="86">
        <v>257</v>
      </c>
      <c r="L6" s="90">
        <v>0</v>
      </c>
      <c r="M6" s="90">
        <f t="shared" ref="M6:M12" si="0">I6*K6+J6</f>
        <v>0</v>
      </c>
      <c r="N6" s="91">
        <v>0</v>
      </c>
      <c r="O6" s="92">
        <f t="shared" ref="O6:O12" si="1">M6+L6-N6</f>
        <v>0</v>
      </c>
    </row>
    <row r="7" spans="1:15" s="74" customFormat="1" ht="15.6" thickBot="1" x14ac:dyDescent="0.3">
      <c r="A7" s="85"/>
      <c r="B7" s="423"/>
      <c r="C7" s="393"/>
      <c r="D7" s="94" t="s">
        <v>36</v>
      </c>
      <c r="E7" s="95"/>
      <c r="F7" s="89">
        <v>46162</v>
      </c>
      <c r="G7" s="95"/>
      <c r="H7" s="89">
        <v>46197</v>
      </c>
      <c r="I7" s="86">
        <f>G7-E7</f>
        <v>0</v>
      </c>
      <c r="J7" s="86"/>
      <c r="K7" s="93">
        <v>0</v>
      </c>
      <c r="L7" s="97"/>
      <c r="M7" s="90">
        <f t="shared" si="0"/>
        <v>0</v>
      </c>
      <c r="N7" s="98"/>
      <c r="O7" s="92">
        <f t="shared" si="1"/>
        <v>0</v>
      </c>
    </row>
    <row r="8" spans="1:15" s="74" customFormat="1" ht="30.6" thickBot="1" x14ac:dyDescent="0.3">
      <c r="A8" s="85"/>
      <c r="B8" s="423"/>
      <c r="C8" s="393"/>
      <c r="D8" s="117" t="s">
        <v>37</v>
      </c>
      <c r="E8" s="118"/>
      <c r="F8" s="119"/>
      <c r="G8" s="118"/>
      <c r="H8" s="119"/>
      <c r="I8" s="120"/>
      <c r="J8" s="120"/>
      <c r="K8" s="120"/>
      <c r="L8" s="121"/>
      <c r="M8" s="90">
        <f t="shared" si="0"/>
        <v>0</v>
      </c>
      <c r="N8" s="99"/>
      <c r="O8" s="92">
        <f t="shared" si="1"/>
        <v>0</v>
      </c>
    </row>
    <row r="9" spans="1:15" s="74" customFormat="1" ht="30.6" thickBot="1" x14ac:dyDescent="0.3">
      <c r="A9" s="85"/>
      <c r="B9" s="424"/>
      <c r="C9" s="425"/>
      <c r="D9" s="94" t="s">
        <v>90</v>
      </c>
      <c r="E9" s="95"/>
      <c r="F9" s="96"/>
      <c r="G9" s="95"/>
      <c r="H9" s="96"/>
      <c r="I9" s="93"/>
      <c r="J9" s="93"/>
      <c r="K9" s="93">
        <v>0</v>
      </c>
      <c r="L9" s="97">
        <v>0</v>
      </c>
      <c r="M9" s="90">
        <f t="shared" si="0"/>
        <v>0</v>
      </c>
      <c r="N9" s="98"/>
      <c r="O9" s="92">
        <f t="shared" si="1"/>
        <v>0</v>
      </c>
    </row>
    <row r="10" spans="1:15" s="74" customFormat="1" ht="45.6" thickBot="1" x14ac:dyDescent="0.3">
      <c r="A10" s="85"/>
      <c r="B10" s="116"/>
      <c r="C10" s="110"/>
      <c r="D10" s="94" t="s">
        <v>91</v>
      </c>
      <c r="E10" s="95"/>
      <c r="F10" s="96"/>
      <c r="G10" s="95"/>
      <c r="H10" s="96"/>
      <c r="I10" s="93">
        <v>0</v>
      </c>
      <c r="J10" s="93"/>
      <c r="K10" s="93">
        <v>3000</v>
      </c>
      <c r="L10" s="97"/>
      <c r="M10" s="90">
        <f t="shared" si="0"/>
        <v>0</v>
      </c>
      <c r="N10" s="98"/>
      <c r="O10" s="92">
        <f t="shared" si="1"/>
        <v>0</v>
      </c>
    </row>
    <row r="11" spans="1:15" s="74" customFormat="1" ht="45.6" thickBot="1" x14ac:dyDescent="0.3">
      <c r="A11" s="85"/>
      <c r="B11" s="116"/>
      <c r="C11" s="110"/>
      <c r="D11" s="94" t="s">
        <v>92</v>
      </c>
      <c r="E11" s="95"/>
      <c r="F11" s="96"/>
      <c r="G11" s="95"/>
      <c r="H11" s="96"/>
      <c r="I11" s="93">
        <v>0</v>
      </c>
      <c r="J11" s="93"/>
      <c r="K11" s="93">
        <v>1800</v>
      </c>
      <c r="L11" s="97"/>
      <c r="M11" s="90">
        <f t="shared" si="0"/>
        <v>0</v>
      </c>
      <c r="N11" s="98"/>
      <c r="O11" s="92">
        <f t="shared" si="1"/>
        <v>0</v>
      </c>
    </row>
    <row r="12" spans="1:15" s="74" customFormat="1" ht="15" x14ac:dyDescent="0.25">
      <c r="A12" s="85"/>
      <c r="B12" s="116"/>
      <c r="C12" s="110"/>
      <c r="D12" s="94"/>
      <c r="E12" s="95"/>
      <c r="F12" s="96"/>
      <c r="G12" s="95"/>
      <c r="H12" s="96"/>
      <c r="I12" s="93"/>
      <c r="J12" s="93"/>
      <c r="K12" s="93"/>
      <c r="L12" s="97"/>
      <c r="M12" s="90">
        <f t="shared" si="0"/>
        <v>0</v>
      </c>
      <c r="N12" s="98"/>
      <c r="O12" s="92">
        <f t="shared" si="1"/>
        <v>0</v>
      </c>
    </row>
    <row r="13" spans="1:15" s="74" customFormat="1" ht="16.2" thickBot="1" x14ac:dyDescent="0.35">
      <c r="A13" s="69"/>
      <c r="B13" s="69"/>
      <c r="C13" s="69"/>
      <c r="D13" s="123" t="s">
        <v>38</v>
      </c>
      <c r="E13" s="124"/>
      <c r="F13" s="125"/>
      <c r="G13" s="124"/>
      <c r="H13" s="125"/>
      <c r="I13" s="126"/>
      <c r="J13" s="126"/>
      <c r="K13" s="126"/>
      <c r="L13" s="127"/>
      <c r="M13" s="127"/>
      <c r="N13" s="128"/>
      <c r="O13" s="107">
        <f>SUM(O6:O12)</f>
        <v>0</v>
      </c>
    </row>
    <row r="14" spans="1:15" s="74" customFormat="1" ht="15.6" thickBot="1" x14ac:dyDescent="0.3">
      <c r="A14" s="69"/>
      <c r="B14" s="69"/>
      <c r="C14" s="69"/>
      <c r="D14" s="69"/>
      <c r="E14" s="70"/>
      <c r="F14" s="69"/>
      <c r="G14" s="70"/>
      <c r="H14" s="69"/>
      <c r="I14" s="69"/>
      <c r="J14" s="69"/>
      <c r="K14" s="69"/>
      <c r="L14" s="69"/>
      <c r="M14" s="71"/>
      <c r="N14" s="72"/>
      <c r="O14" s="73"/>
    </row>
    <row r="15" spans="1:15" s="167" customFormat="1" ht="31.8" thickBot="1" x14ac:dyDescent="0.3">
      <c r="A15" s="160"/>
      <c r="B15" s="161" t="s">
        <v>0</v>
      </c>
      <c r="C15" s="162" t="s">
        <v>1</v>
      </c>
      <c r="D15" s="161"/>
      <c r="E15" s="162" t="s">
        <v>198</v>
      </c>
      <c r="F15" s="163" t="s">
        <v>199</v>
      </c>
      <c r="G15" s="162" t="s">
        <v>196</v>
      </c>
      <c r="H15" s="163" t="s">
        <v>9</v>
      </c>
      <c r="I15" s="161" t="s">
        <v>2</v>
      </c>
      <c r="J15" s="162" t="s">
        <v>10</v>
      </c>
      <c r="K15" s="162" t="s">
        <v>13</v>
      </c>
      <c r="L15" s="162" t="s">
        <v>14</v>
      </c>
      <c r="M15" s="164" t="s">
        <v>15</v>
      </c>
      <c r="N15" s="165" t="s">
        <v>11</v>
      </c>
      <c r="O15" s="166" t="s">
        <v>76</v>
      </c>
    </row>
    <row r="16" spans="1:15" s="167" customFormat="1" ht="30.6" thickBot="1" x14ac:dyDescent="0.3">
      <c r="A16" s="168">
        <v>1</v>
      </c>
      <c r="B16" s="438" t="s">
        <v>77</v>
      </c>
      <c r="C16" s="435"/>
      <c r="D16" s="169" t="s">
        <v>35</v>
      </c>
      <c r="E16" s="170">
        <v>37964.300000000003</v>
      </c>
      <c r="F16" s="89">
        <v>46162</v>
      </c>
      <c r="G16" s="170">
        <v>37964.300000000003</v>
      </c>
      <c r="H16" s="89">
        <v>46197</v>
      </c>
      <c r="I16" s="172">
        <f>G16-E16</f>
        <v>0</v>
      </c>
      <c r="J16" s="172"/>
      <c r="K16" s="172">
        <v>257</v>
      </c>
      <c r="L16" s="173">
        <v>0</v>
      </c>
      <c r="M16" s="173">
        <f>I16*K16</f>
        <v>0</v>
      </c>
      <c r="N16" s="174">
        <v>0</v>
      </c>
      <c r="O16" s="175">
        <f>L16+M16+J16-N16</f>
        <v>0</v>
      </c>
    </row>
    <row r="17" spans="1:15" s="167" customFormat="1" ht="15.6" thickBot="1" x14ac:dyDescent="0.3">
      <c r="A17" s="168"/>
      <c r="B17" s="439"/>
      <c r="C17" s="436"/>
      <c r="D17" s="176" t="s">
        <v>36</v>
      </c>
      <c r="E17" s="177"/>
      <c r="F17" s="89">
        <v>46162</v>
      </c>
      <c r="G17" s="177"/>
      <c r="H17" s="89">
        <v>46197</v>
      </c>
      <c r="I17" s="172">
        <f>G17-E17</f>
        <v>0</v>
      </c>
      <c r="J17" s="172"/>
      <c r="K17" s="160"/>
      <c r="L17" s="178"/>
      <c r="M17" s="173">
        <f>I17*K17+J17</f>
        <v>0</v>
      </c>
      <c r="N17" s="179"/>
      <c r="O17" s="175">
        <f>L17+M17-N17</f>
        <v>0</v>
      </c>
    </row>
    <row r="18" spans="1:15" s="167" customFormat="1" ht="30.6" thickBot="1" x14ac:dyDescent="0.3">
      <c r="A18" s="168"/>
      <c r="B18" s="439"/>
      <c r="C18" s="436"/>
      <c r="D18" s="180" t="s">
        <v>37</v>
      </c>
      <c r="E18" s="182"/>
      <c r="F18" s="181"/>
      <c r="G18" s="182"/>
      <c r="H18" s="181"/>
      <c r="I18" s="183"/>
      <c r="J18" s="183"/>
      <c r="K18" s="183"/>
      <c r="L18" s="184">
        <v>0</v>
      </c>
      <c r="M18" s="185">
        <f>K18</f>
        <v>0</v>
      </c>
      <c r="N18" s="186"/>
      <c r="O18" s="175">
        <f>L18+M18-N18</f>
        <v>0</v>
      </c>
    </row>
    <row r="19" spans="1:15" s="167" customFormat="1" ht="30.6" thickBot="1" x14ac:dyDescent="0.3">
      <c r="A19" s="168"/>
      <c r="B19" s="440"/>
      <c r="C19" s="437"/>
      <c r="D19" s="187" t="s">
        <v>42</v>
      </c>
      <c r="E19" s="189"/>
      <c r="F19" s="188"/>
      <c r="G19" s="189"/>
      <c r="H19" s="188"/>
      <c r="I19" s="190"/>
      <c r="J19" s="190"/>
      <c r="K19" s="190">
        <v>0</v>
      </c>
      <c r="L19" s="191">
        <v>0</v>
      </c>
      <c r="M19" s="191">
        <f>K19</f>
        <v>0</v>
      </c>
      <c r="N19" s="192"/>
      <c r="O19" s="175">
        <f>L19+M19-N19</f>
        <v>0</v>
      </c>
    </row>
    <row r="20" spans="1:15" s="167" customFormat="1" ht="16.2" thickBot="1" x14ac:dyDescent="0.35">
      <c r="A20" s="193"/>
      <c r="B20" s="193"/>
      <c r="C20" s="193"/>
      <c r="D20" s="194" t="s">
        <v>38</v>
      </c>
      <c r="E20" s="196"/>
      <c r="F20" s="195"/>
      <c r="G20" s="196"/>
      <c r="H20" s="195"/>
      <c r="I20" s="197"/>
      <c r="J20" s="197"/>
      <c r="K20" s="197"/>
      <c r="L20" s="198"/>
      <c r="M20" s="198"/>
      <c r="N20" s="199"/>
      <c r="O20" s="200">
        <f>SUM(O16:O19)</f>
        <v>0</v>
      </c>
    </row>
    <row r="21" spans="1:15" s="167" customFormat="1" ht="15.6" thickBot="1" x14ac:dyDescent="0.3">
      <c r="A21" s="193"/>
      <c r="B21" s="193"/>
      <c r="C21" s="193"/>
      <c r="D21" s="193"/>
      <c r="E21" s="201"/>
      <c r="F21" s="193"/>
      <c r="G21" s="201"/>
      <c r="H21" s="193"/>
      <c r="I21" s="193"/>
      <c r="J21" s="193"/>
      <c r="K21" s="193"/>
      <c r="L21" s="193"/>
      <c r="M21" s="202"/>
      <c r="N21" s="203"/>
      <c r="O21" s="204"/>
    </row>
    <row r="22" spans="1:15" s="167" customFormat="1" ht="31.8" thickBot="1" x14ac:dyDescent="0.3">
      <c r="A22" s="160"/>
      <c r="B22" s="161" t="s">
        <v>0</v>
      </c>
      <c r="C22" s="162" t="s">
        <v>1</v>
      </c>
      <c r="D22" s="161"/>
      <c r="E22" s="162" t="s">
        <v>198</v>
      </c>
      <c r="F22" s="163" t="s">
        <v>199</v>
      </c>
      <c r="G22" s="162" t="s">
        <v>196</v>
      </c>
      <c r="H22" s="163" t="s">
        <v>9</v>
      </c>
      <c r="I22" s="161" t="s">
        <v>2</v>
      </c>
      <c r="J22" s="162" t="s">
        <v>10</v>
      </c>
      <c r="K22" s="162" t="s">
        <v>13</v>
      </c>
      <c r="L22" s="162" t="s">
        <v>14</v>
      </c>
      <c r="M22" s="164" t="s">
        <v>15</v>
      </c>
      <c r="N22" s="165" t="s">
        <v>11</v>
      </c>
      <c r="O22" s="166" t="s">
        <v>76</v>
      </c>
    </row>
    <row r="23" spans="1:15" s="167" customFormat="1" ht="30.6" thickBot="1" x14ac:dyDescent="0.3">
      <c r="A23" s="168">
        <v>1</v>
      </c>
      <c r="B23" s="432" t="s">
        <v>78</v>
      </c>
      <c r="C23" s="435"/>
      <c r="D23" s="169" t="s">
        <v>35</v>
      </c>
      <c r="E23" s="170">
        <v>75649.820000000007</v>
      </c>
      <c r="F23" s="89">
        <v>46162</v>
      </c>
      <c r="G23" s="170">
        <v>75971.31</v>
      </c>
      <c r="H23" s="89">
        <v>46197</v>
      </c>
      <c r="I23" s="172">
        <f>G23-E23</f>
        <v>321.48999999999069</v>
      </c>
      <c r="J23" s="172"/>
      <c r="K23" s="172">
        <v>230</v>
      </c>
      <c r="L23" s="173">
        <v>0</v>
      </c>
      <c r="M23" s="173">
        <f>I23*K23</f>
        <v>73942.699999997858</v>
      </c>
      <c r="N23" s="174">
        <v>0</v>
      </c>
      <c r="O23" s="175">
        <f>L23+M23+J23-N23</f>
        <v>73942.699999997858</v>
      </c>
    </row>
    <row r="24" spans="1:15" s="167" customFormat="1" ht="16.2" thickBot="1" x14ac:dyDescent="0.3">
      <c r="A24" s="168"/>
      <c r="B24" s="433"/>
      <c r="C24" s="436"/>
      <c r="D24" s="176" t="s">
        <v>36</v>
      </c>
      <c r="E24" s="177"/>
      <c r="F24" s="268">
        <v>46162</v>
      </c>
      <c r="G24" s="177"/>
      <c r="H24" s="268">
        <v>46197</v>
      </c>
      <c r="I24" s="172">
        <f>G24-E24</f>
        <v>0</v>
      </c>
      <c r="J24" s="172"/>
      <c r="K24" s="160"/>
      <c r="L24" s="178"/>
      <c r="M24" s="173">
        <f>I24*K24+J24</f>
        <v>0</v>
      </c>
      <c r="N24" s="179"/>
      <c r="O24" s="175">
        <f>L24+M24-N24</f>
        <v>0</v>
      </c>
    </row>
    <row r="25" spans="1:15" s="167" customFormat="1" ht="30.6" thickBot="1" x14ac:dyDescent="0.3">
      <c r="A25" s="168"/>
      <c r="B25" s="433"/>
      <c r="C25" s="436"/>
      <c r="D25" s="180" t="s">
        <v>37</v>
      </c>
      <c r="E25" s="182"/>
      <c r="F25" s="181"/>
      <c r="G25" s="182"/>
      <c r="H25" s="181"/>
      <c r="I25" s="183"/>
      <c r="J25" s="183"/>
      <c r="K25" s="183"/>
      <c r="L25" s="184">
        <v>0</v>
      </c>
      <c r="M25" s="185">
        <f>K25</f>
        <v>0</v>
      </c>
      <c r="N25" s="186"/>
      <c r="O25" s="175">
        <f>L25+M25-N25</f>
        <v>0</v>
      </c>
    </row>
    <row r="26" spans="1:15" s="167" customFormat="1" ht="30.6" thickBot="1" x14ac:dyDescent="0.3">
      <c r="A26" s="168"/>
      <c r="B26" s="434"/>
      <c r="C26" s="437"/>
      <c r="D26" s="187" t="s">
        <v>42</v>
      </c>
      <c r="E26" s="189"/>
      <c r="F26" s="188"/>
      <c r="G26" s="189"/>
      <c r="H26" s="188"/>
      <c r="I26" s="190"/>
      <c r="J26" s="190"/>
      <c r="K26" s="190">
        <v>0</v>
      </c>
      <c r="L26" s="191">
        <v>0</v>
      </c>
      <c r="M26" s="191">
        <f>K26</f>
        <v>0</v>
      </c>
      <c r="N26" s="192"/>
      <c r="O26" s="175">
        <f>L26+M26-N26</f>
        <v>0</v>
      </c>
    </row>
    <row r="27" spans="1:15" s="167" customFormat="1" ht="16.2" thickBot="1" x14ac:dyDescent="0.35">
      <c r="A27" s="193"/>
      <c r="B27" s="193"/>
      <c r="C27" s="193"/>
      <c r="D27" s="194" t="s">
        <v>38</v>
      </c>
      <c r="E27" s="196"/>
      <c r="F27" s="195"/>
      <c r="G27" s="196"/>
      <c r="H27" s="195"/>
      <c r="I27" s="197"/>
      <c r="J27" s="197"/>
      <c r="K27" s="197"/>
      <c r="L27" s="198"/>
      <c r="M27" s="198"/>
      <c r="N27" s="199"/>
      <c r="O27" s="200">
        <f>SUM(O23:O26)</f>
        <v>73942.699999997858</v>
      </c>
    </row>
    <row r="28" spans="1:15" s="167" customFormat="1" ht="16.2" thickBot="1" x14ac:dyDescent="0.35">
      <c r="A28" s="193"/>
      <c r="B28" s="193"/>
      <c r="C28" s="193"/>
      <c r="D28" s="205"/>
      <c r="E28" s="207"/>
      <c r="F28" s="206"/>
      <c r="G28" s="207"/>
      <c r="H28" s="206"/>
      <c r="I28" s="193"/>
      <c r="J28" s="193"/>
      <c r="K28" s="193"/>
      <c r="L28" s="208"/>
      <c r="M28" s="208"/>
      <c r="N28" s="209"/>
      <c r="O28" s="210"/>
    </row>
    <row r="29" spans="1:15" s="167" customFormat="1" ht="31.8" thickBot="1" x14ac:dyDescent="0.3">
      <c r="A29" s="160"/>
      <c r="B29" s="161" t="s">
        <v>0</v>
      </c>
      <c r="C29" s="162" t="s">
        <v>1</v>
      </c>
      <c r="D29" s="161"/>
      <c r="E29" s="162" t="s">
        <v>198</v>
      </c>
      <c r="F29" s="163" t="s">
        <v>199</v>
      </c>
      <c r="G29" s="162" t="s">
        <v>196</v>
      </c>
      <c r="H29" s="163" t="s">
        <v>9</v>
      </c>
      <c r="I29" s="161" t="s">
        <v>2</v>
      </c>
      <c r="J29" s="162" t="s">
        <v>10</v>
      </c>
      <c r="K29" s="162" t="s">
        <v>13</v>
      </c>
      <c r="L29" s="162" t="s">
        <v>14</v>
      </c>
      <c r="M29" s="164" t="s">
        <v>15</v>
      </c>
      <c r="N29" s="165" t="s">
        <v>11</v>
      </c>
      <c r="O29" s="166" t="s">
        <v>76</v>
      </c>
    </row>
    <row r="30" spans="1:15" s="167" customFormat="1" ht="30.6" thickBot="1" x14ac:dyDescent="0.3">
      <c r="A30" s="168">
        <v>1</v>
      </c>
      <c r="B30" s="438" t="s">
        <v>79</v>
      </c>
      <c r="C30" s="435"/>
      <c r="D30" s="169" t="s">
        <v>35</v>
      </c>
      <c r="E30" s="170">
        <v>592.82000000000005</v>
      </c>
      <c r="F30" s="89">
        <v>46162</v>
      </c>
      <c r="G30" s="170">
        <v>592.82000000000005</v>
      </c>
      <c r="H30" s="89">
        <v>46197</v>
      </c>
      <c r="I30" s="172">
        <f>G30-E30</f>
        <v>0</v>
      </c>
      <c r="J30" s="172"/>
      <c r="K30" s="172">
        <v>257</v>
      </c>
      <c r="L30" s="173">
        <v>0</v>
      </c>
      <c r="M30" s="173">
        <f>I30*K30</f>
        <v>0</v>
      </c>
      <c r="N30" s="174">
        <v>0</v>
      </c>
      <c r="O30" s="175">
        <f>L30+M30+J30-N30</f>
        <v>0</v>
      </c>
    </row>
    <row r="31" spans="1:15" s="167" customFormat="1" ht="15.6" thickBot="1" x14ac:dyDescent="0.3">
      <c r="A31" s="168"/>
      <c r="B31" s="439"/>
      <c r="C31" s="436"/>
      <c r="D31" s="176" t="s">
        <v>36</v>
      </c>
      <c r="E31" s="177"/>
      <c r="F31" s="89">
        <v>46162</v>
      </c>
      <c r="G31" s="177"/>
      <c r="H31" s="89">
        <v>46197</v>
      </c>
      <c r="I31" s="172">
        <f>G31-E31</f>
        <v>0</v>
      </c>
      <c r="J31" s="172"/>
      <c r="K31" s="160"/>
      <c r="L31" s="178"/>
      <c r="M31" s="173">
        <f>I31*K31+J31</f>
        <v>0</v>
      </c>
      <c r="N31" s="179"/>
      <c r="O31" s="175">
        <f>L31+M31-N31</f>
        <v>0</v>
      </c>
    </row>
    <row r="32" spans="1:15" s="167" customFormat="1" ht="30.6" thickBot="1" x14ac:dyDescent="0.3">
      <c r="A32" s="168"/>
      <c r="B32" s="439"/>
      <c r="C32" s="436"/>
      <c r="D32" s="180" t="s">
        <v>37</v>
      </c>
      <c r="E32" s="182"/>
      <c r="F32" s="181"/>
      <c r="G32" s="182"/>
      <c r="H32" s="181"/>
      <c r="I32" s="183"/>
      <c r="J32" s="183"/>
      <c r="K32" s="183"/>
      <c r="L32" s="184">
        <v>0</v>
      </c>
      <c r="M32" s="185">
        <f>K32</f>
        <v>0</v>
      </c>
      <c r="N32" s="186"/>
      <c r="O32" s="175">
        <f>L32+M32-N32</f>
        <v>0</v>
      </c>
    </row>
    <row r="33" spans="1:15" s="167" customFormat="1" ht="30.6" thickBot="1" x14ac:dyDescent="0.3">
      <c r="A33" s="168"/>
      <c r="B33" s="440"/>
      <c r="C33" s="437"/>
      <c r="D33" s="187" t="s">
        <v>42</v>
      </c>
      <c r="E33" s="189"/>
      <c r="F33" s="188"/>
      <c r="G33" s="189"/>
      <c r="H33" s="188"/>
      <c r="I33" s="190"/>
      <c r="J33" s="190"/>
      <c r="K33" s="190">
        <v>0</v>
      </c>
      <c r="L33" s="191">
        <v>0</v>
      </c>
      <c r="M33" s="191">
        <f>K33</f>
        <v>0</v>
      </c>
      <c r="N33" s="192"/>
      <c r="O33" s="175">
        <f>L33+M33-N33</f>
        <v>0</v>
      </c>
    </row>
    <row r="34" spans="1:15" s="167" customFormat="1" ht="16.2" thickBot="1" x14ac:dyDescent="0.35">
      <c r="A34" s="193"/>
      <c r="B34" s="193"/>
      <c r="C34" s="193"/>
      <c r="D34" s="194" t="s">
        <v>38</v>
      </c>
      <c r="E34" s="196"/>
      <c r="F34" s="195"/>
      <c r="G34" s="196"/>
      <c r="H34" s="195"/>
      <c r="I34" s="197"/>
      <c r="J34" s="197"/>
      <c r="K34" s="197"/>
      <c r="L34" s="198"/>
      <c r="M34" s="198"/>
      <c r="N34" s="199"/>
      <c r="O34" s="200">
        <f>SUM(O30:O33)</f>
        <v>0</v>
      </c>
    </row>
    <row r="35" spans="1:15" s="167" customFormat="1" ht="16.2" thickBot="1" x14ac:dyDescent="0.35">
      <c r="A35" s="193"/>
      <c r="B35" s="193"/>
      <c r="C35" s="193"/>
      <c r="D35" s="205"/>
      <c r="E35" s="207"/>
      <c r="F35" s="206"/>
      <c r="G35" s="207"/>
      <c r="H35" s="206"/>
      <c r="I35" s="193"/>
      <c r="J35" s="193"/>
      <c r="K35" s="193"/>
      <c r="L35" s="208"/>
      <c r="M35" s="208"/>
      <c r="N35" s="209"/>
      <c r="O35" s="210"/>
    </row>
    <row r="36" spans="1:15" s="167" customFormat="1" ht="31.8" thickBot="1" x14ac:dyDescent="0.3">
      <c r="A36" s="160"/>
      <c r="B36" s="161" t="s">
        <v>0</v>
      </c>
      <c r="C36" s="162" t="s">
        <v>1</v>
      </c>
      <c r="D36" s="162"/>
      <c r="E36" s="162" t="s">
        <v>198</v>
      </c>
      <c r="F36" s="163" t="s">
        <v>199</v>
      </c>
      <c r="G36" s="162" t="s">
        <v>196</v>
      </c>
      <c r="H36" s="163" t="s">
        <v>9</v>
      </c>
      <c r="I36" s="161" t="s">
        <v>2</v>
      </c>
      <c r="J36" s="162" t="s">
        <v>10</v>
      </c>
      <c r="K36" s="162" t="s">
        <v>13</v>
      </c>
      <c r="L36" s="162" t="s">
        <v>14</v>
      </c>
      <c r="M36" s="164" t="s">
        <v>15</v>
      </c>
      <c r="N36" s="165" t="s">
        <v>11</v>
      </c>
      <c r="O36" s="166" t="s">
        <v>76</v>
      </c>
    </row>
    <row r="37" spans="1:15" s="167" customFormat="1" ht="30.6" thickBot="1" x14ac:dyDescent="0.3">
      <c r="A37" s="168">
        <v>1</v>
      </c>
      <c r="B37" s="438" t="s">
        <v>80</v>
      </c>
      <c r="C37" s="441"/>
      <c r="D37" s="169" t="s">
        <v>35</v>
      </c>
      <c r="E37" s="170">
        <v>3692.13</v>
      </c>
      <c r="F37" s="89">
        <v>46162</v>
      </c>
      <c r="G37" s="170">
        <v>3835.79</v>
      </c>
      <c r="H37" s="89">
        <v>46197</v>
      </c>
      <c r="I37" s="172">
        <f>G37-E37</f>
        <v>143.65999999999985</v>
      </c>
      <c r="J37" s="172"/>
      <c r="K37" s="172">
        <v>230</v>
      </c>
      <c r="L37" s="173">
        <v>0</v>
      </c>
      <c r="M37" s="173">
        <f>I37*K37</f>
        <v>33041.799999999967</v>
      </c>
      <c r="N37" s="174">
        <v>0</v>
      </c>
      <c r="O37" s="175">
        <f>L37+M37+J37-N37</f>
        <v>33041.799999999967</v>
      </c>
    </row>
    <row r="38" spans="1:15" s="167" customFormat="1" ht="15.6" thickBot="1" x14ac:dyDescent="0.3">
      <c r="A38" s="168"/>
      <c r="B38" s="439"/>
      <c r="C38" s="442"/>
      <c r="D38" s="176" t="s">
        <v>36</v>
      </c>
      <c r="E38" s="177"/>
      <c r="F38" s="89">
        <v>46162</v>
      </c>
      <c r="G38" s="177"/>
      <c r="H38" s="89">
        <v>46197</v>
      </c>
      <c r="I38" s="172">
        <f>G38-E38</f>
        <v>0</v>
      </c>
      <c r="J38" s="172"/>
      <c r="K38" s="160"/>
      <c r="L38" s="178"/>
      <c r="M38" s="173">
        <f>I38*K38+J38</f>
        <v>0</v>
      </c>
      <c r="N38" s="179"/>
      <c r="O38" s="175">
        <f>L38+M38-N38</f>
        <v>0</v>
      </c>
    </row>
    <row r="39" spans="1:15" s="167" customFormat="1" ht="30.6" thickBot="1" x14ac:dyDescent="0.3">
      <c r="A39" s="168"/>
      <c r="B39" s="439"/>
      <c r="C39" s="442"/>
      <c r="D39" s="180" t="s">
        <v>37</v>
      </c>
      <c r="E39" s="182"/>
      <c r="F39" s="181"/>
      <c r="G39" s="182"/>
      <c r="H39" s="181"/>
      <c r="I39" s="183"/>
      <c r="J39" s="183"/>
      <c r="K39" s="183"/>
      <c r="L39" s="184">
        <v>0</v>
      </c>
      <c r="M39" s="185">
        <f>K39</f>
        <v>0</v>
      </c>
      <c r="N39" s="186"/>
      <c r="O39" s="175">
        <f>L39+M39-N39</f>
        <v>0</v>
      </c>
    </row>
    <row r="40" spans="1:15" s="167" customFormat="1" ht="30.6" thickBot="1" x14ac:dyDescent="0.3">
      <c r="A40" s="168"/>
      <c r="B40" s="440"/>
      <c r="C40" s="443"/>
      <c r="D40" s="187" t="s">
        <v>42</v>
      </c>
      <c r="E40" s="189"/>
      <c r="F40" s="188"/>
      <c r="G40" s="189"/>
      <c r="H40" s="188"/>
      <c r="I40" s="190"/>
      <c r="J40" s="190"/>
      <c r="K40" s="190">
        <v>0</v>
      </c>
      <c r="L40" s="191">
        <v>0</v>
      </c>
      <c r="M40" s="191">
        <f>K40</f>
        <v>0</v>
      </c>
      <c r="N40" s="192"/>
      <c r="O40" s="175">
        <f>L40+M40-N40</f>
        <v>0</v>
      </c>
    </row>
    <row r="41" spans="1:15" s="167" customFormat="1" ht="16.2" thickBot="1" x14ac:dyDescent="0.35">
      <c r="A41" s="193"/>
      <c r="B41" s="193"/>
      <c r="C41" s="193"/>
      <c r="D41" s="194" t="s">
        <v>38</v>
      </c>
      <c r="E41" s="196"/>
      <c r="F41" s="195"/>
      <c r="G41" s="196"/>
      <c r="H41" s="195"/>
      <c r="I41" s="197"/>
      <c r="J41" s="197"/>
      <c r="K41" s="197"/>
      <c r="L41" s="198"/>
      <c r="M41" s="198"/>
      <c r="N41" s="199"/>
      <c r="O41" s="200">
        <f>SUM(O37:O40)</f>
        <v>33041.799999999967</v>
      </c>
    </row>
    <row r="42" spans="1:15" s="167" customFormat="1" ht="15.6" thickBot="1" x14ac:dyDescent="0.3">
      <c r="A42" s="193"/>
      <c r="B42" s="193"/>
      <c r="C42" s="193"/>
      <c r="D42" s="193"/>
      <c r="E42" s="201"/>
      <c r="F42" s="193"/>
      <c r="G42" s="201"/>
      <c r="H42" s="193"/>
      <c r="I42" s="193"/>
      <c r="J42" s="193"/>
      <c r="K42" s="193"/>
      <c r="L42" s="193"/>
      <c r="M42" s="202"/>
      <c r="N42" s="203"/>
      <c r="O42" s="204"/>
    </row>
    <row r="43" spans="1:15" s="167" customFormat="1" ht="31.8" thickBot="1" x14ac:dyDescent="0.3">
      <c r="A43" s="160"/>
      <c r="B43" s="161" t="s">
        <v>0</v>
      </c>
      <c r="C43" s="162" t="s">
        <v>1</v>
      </c>
      <c r="D43" s="161"/>
      <c r="E43" s="162" t="s">
        <v>198</v>
      </c>
      <c r="F43" s="163" t="s">
        <v>199</v>
      </c>
      <c r="G43" s="162" t="s">
        <v>196</v>
      </c>
      <c r="H43" s="163" t="s">
        <v>9</v>
      </c>
      <c r="I43" s="161" t="s">
        <v>2</v>
      </c>
      <c r="J43" s="162" t="s">
        <v>10</v>
      </c>
      <c r="K43" s="162" t="s">
        <v>13</v>
      </c>
      <c r="L43" s="162" t="s">
        <v>14</v>
      </c>
      <c r="M43" s="164" t="s">
        <v>15</v>
      </c>
      <c r="N43" s="165" t="s">
        <v>11</v>
      </c>
      <c r="O43" s="166" t="s">
        <v>76</v>
      </c>
    </row>
    <row r="44" spans="1:15" s="167" customFormat="1" ht="30.6" thickBot="1" x14ac:dyDescent="0.3">
      <c r="A44" s="291">
        <v>1</v>
      </c>
      <c r="B44" s="438" t="s">
        <v>81</v>
      </c>
      <c r="C44" s="435"/>
      <c r="D44" s="169" t="s">
        <v>35</v>
      </c>
      <c r="E44" s="292">
        <v>100486.1</v>
      </c>
      <c r="F44" s="89">
        <v>46162</v>
      </c>
      <c r="G44" s="292">
        <v>10303.32</v>
      </c>
      <c r="H44" s="89">
        <v>46197</v>
      </c>
      <c r="I44" s="172">
        <f>G44-E44</f>
        <v>-90182.78</v>
      </c>
      <c r="J44" s="172"/>
      <c r="K44" s="172">
        <v>257</v>
      </c>
      <c r="L44" s="293">
        <v>0</v>
      </c>
      <c r="M44" s="293">
        <f>I44*K44</f>
        <v>-23176974.460000001</v>
      </c>
      <c r="N44" s="294">
        <v>0</v>
      </c>
      <c r="O44" s="295">
        <f>L44+M44+J44-N44</f>
        <v>-23176974.460000001</v>
      </c>
    </row>
    <row r="45" spans="1:15" s="167" customFormat="1" ht="15.6" thickBot="1" x14ac:dyDescent="0.3">
      <c r="A45" s="168"/>
      <c r="B45" s="439"/>
      <c r="C45" s="436"/>
      <c r="D45" s="176" t="s">
        <v>36</v>
      </c>
      <c r="E45" s="177"/>
      <c r="F45" s="89">
        <v>46162</v>
      </c>
      <c r="G45" s="177"/>
      <c r="H45" s="89">
        <v>46197</v>
      </c>
      <c r="I45" s="172">
        <f>G45-E45</f>
        <v>0</v>
      </c>
      <c r="J45" s="172"/>
      <c r="K45" s="160"/>
      <c r="L45" s="178"/>
      <c r="M45" s="173">
        <f>I45*K45+J45</f>
        <v>0</v>
      </c>
      <c r="N45" s="179"/>
      <c r="O45" s="175">
        <f>L45+M45-N45</f>
        <v>0</v>
      </c>
    </row>
    <row r="46" spans="1:15" s="167" customFormat="1" ht="30.6" thickBot="1" x14ac:dyDescent="0.3">
      <c r="A46" s="168"/>
      <c r="B46" s="439"/>
      <c r="C46" s="436"/>
      <c r="D46" s="180" t="s">
        <v>37</v>
      </c>
      <c r="E46" s="182"/>
      <c r="F46" s="181"/>
      <c r="G46" s="182"/>
      <c r="H46" s="181"/>
      <c r="I46" s="183"/>
      <c r="J46" s="183"/>
      <c r="K46" s="183"/>
      <c r="L46" s="184">
        <v>0</v>
      </c>
      <c r="M46" s="185">
        <f>K46</f>
        <v>0</v>
      </c>
      <c r="N46" s="186"/>
      <c r="O46" s="175">
        <f>L46+M46-N46</f>
        <v>0</v>
      </c>
    </row>
    <row r="47" spans="1:15" s="167" customFormat="1" ht="30.6" thickBot="1" x14ac:dyDescent="0.3">
      <c r="A47" s="168"/>
      <c r="B47" s="440"/>
      <c r="C47" s="437"/>
      <c r="D47" s="187" t="s">
        <v>42</v>
      </c>
      <c r="E47" s="189"/>
      <c r="F47" s="188"/>
      <c r="G47" s="189"/>
      <c r="H47" s="188"/>
      <c r="I47" s="190"/>
      <c r="J47" s="190"/>
      <c r="K47" s="190">
        <v>0</v>
      </c>
      <c r="L47" s="191">
        <v>0</v>
      </c>
      <c r="M47" s="191">
        <f>K47</f>
        <v>0</v>
      </c>
      <c r="N47" s="192"/>
      <c r="O47" s="175">
        <f>L47+M47-N47</f>
        <v>0</v>
      </c>
    </row>
    <row r="48" spans="1:15" s="167" customFormat="1" ht="16.2" thickBot="1" x14ac:dyDescent="0.35">
      <c r="A48" s="193"/>
      <c r="B48" s="193"/>
      <c r="C48" s="193"/>
      <c r="D48" s="194" t="s">
        <v>38</v>
      </c>
      <c r="E48" s="196"/>
      <c r="F48" s="195"/>
      <c r="G48" s="196"/>
      <c r="H48" s="195"/>
      <c r="I48" s="197"/>
      <c r="J48" s="197"/>
      <c r="K48" s="197"/>
      <c r="L48" s="198"/>
      <c r="M48" s="198"/>
      <c r="N48" s="199"/>
      <c r="O48" s="200">
        <f>SUM(O44:O47)</f>
        <v>-23176974.460000001</v>
      </c>
    </row>
    <row r="49" spans="1:15" s="167" customFormat="1" ht="15.6" thickBot="1" x14ac:dyDescent="0.3">
      <c r="A49" s="193"/>
      <c r="B49" s="193"/>
      <c r="C49" s="193"/>
      <c r="D49" s="193"/>
      <c r="E49" s="201"/>
      <c r="F49" s="193"/>
      <c r="G49" s="201"/>
      <c r="H49" s="193"/>
      <c r="I49" s="193"/>
      <c r="J49" s="193"/>
      <c r="K49" s="193"/>
      <c r="L49" s="193"/>
      <c r="M49" s="202"/>
      <c r="N49" s="203"/>
      <c r="O49" s="204"/>
    </row>
    <row r="50" spans="1:15" s="167" customFormat="1" ht="31.8" thickBot="1" x14ac:dyDescent="0.3">
      <c r="A50" s="160"/>
      <c r="B50" s="161" t="s">
        <v>0</v>
      </c>
      <c r="C50" s="162" t="s">
        <v>1</v>
      </c>
      <c r="D50" s="162"/>
      <c r="E50" s="162" t="s">
        <v>198</v>
      </c>
      <c r="F50" s="163" t="s">
        <v>199</v>
      </c>
      <c r="G50" s="162" t="s">
        <v>196</v>
      </c>
      <c r="H50" s="163" t="s">
        <v>9</v>
      </c>
      <c r="I50" s="161" t="s">
        <v>2</v>
      </c>
      <c r="J50" s="162" t="s">
        <v>10</v>
      </c>
      <c r="K50" s="162" t="s">
        <v>13</v>
      </c>
      <c r="L50" s="162" t="s">
        <v>14</v>
      </c>
      <c r="M50" s="164" t="s">
        <v>15</v>
      </c>
      <c r="N50" s="165" t="s">
        <v>11</v>
      </c>
      <c r="O50" s="166" t="s">
        <v>76</v>
      </c>
    </row>
    <row r="51" spans="1:15" s="167" customFormat="1" ht="30.6" thickBot="1" x14ac:dyDescent="0.3">
      <c r="A51" s="168">
        <v>1</v>
      </c>
      <c r="B51" s="438" t="s">
        <v>82</v>
      </c>
      <c r="C51" s="435"/>
      <c r="D51" s="169" t="s">
        <v>35</v>
      </c>
      <c r="E51" s="170">
        <v>2362.34</v>
      </c>
      <c r="F51" s="89">
        <v>46162</v>
      </c>
      <c r="G51" s="170">
        <v>2441.11</v>
      </c>
      <c r="H51" s="89">
        <v>46197</v>
      </c>
      <c r="I51" s="172">
        <f>G51-E51</f>
        <v>78.769999999999982</v>
      </c>
      <c r="J51" s="172"/>
      <c r="K51" s="172">
        <v>257</v>
      </c>
      <c r="L51" s="173">
        <v>0</v>
      </c>
      <c r="M51" s="173">
        <f>I51*K51</f>
        <v>20243.889999999996</v>
      </c>
      <c r="N51" s="174">
        <v>0</v>
      </c>
      <c r="O51" s="175">
        <f>L51+M51+J51-N51</f>
        <v>20243.889999999996</v>
      </c>
    </row>
    <row r="52" spans="1:15" s="167" customFormat="1" ht="15.6" thickBot="1" x14ac:dyDescent="0.3">
      <c r="A52" s="168"/>
      <c r="B52" s="439"/>
      <c r="C52" s="436"/>
      <c r="D52" s="176" t="s">
        <v>36</v>
      </c>
      <c r="E52" s="177"/>
      <c r="F52" s="89">
        <v>46162</v>
      </c>
      <c r="G52" s="177"/>
      <c r="H52" s="89">
        <v>46197</v>
      </c>
      <c r="I52" s="172">
        <f>G52-E52</f>
        <v>0</v>
      </c>
      <c r="J52" s="172"/>
      <c r="K52" s="160"/>
      <c r="L52" s="178"/>
      <c r="M52" s="173">
        <f>I52*K52+J52</f>
        <v>0</v>
      </c>
      <c r="N52" s="179"/>
      <c r="O52" s="175">
        <f>L52+M52-N52</f>
        <v>0</v>
      </c>
    </row>
    <row r="53" spans="1:15" s="167" customFormat="1" ht="30.6" thickBot="1" x14ac:dyDescent="0.3">
      <c r="A53" s="168"/>
      <c r="B53" s="439"/>
      <c r="C53" s="436"/>
      <c r="D53" s="180" t="s">
        <v>37</v>
      </c>
      <c r="E53" s="182"/>
      <c r="F53" s="181"/>
      <c r="G53" s="182"/>
      <c r="H53" s="181"/>
      <c r="I53" s="183"/>
      <c r="J53" s="183"/>
      <c r="K53" s="183"/>
      <c r="L53" s="184">
        <v>0</v>
      </c>
      <c r="M53" s="185">
        <f>K53</f>
        <v>0</v>
      </c>
      <c r="N53" s="186"/>
      <c r="O53" s="175">
        <f>L53+M53-N53</f>
        <v>0</v>
      </c>
    </row>
    <row r="54" spans="1:15" s="167" customFormat="1" ht="30.6" thickBot="1" x14ac:dyDescent="0.3">
      <c r="A54" s="168"/>
      <c r="B54" s="440"/>
      <c r="C54" s="437"/>
      <c r="D54" s="187" t="s">
        <v>42</v>
      </c>
      <c r="E54" s="189"/>
      <c r="F54" s="188"/>
      <c r="G54" s="189"/>
      <c r="H54" s="188"/>
      <c r="I54" s="190"/>
      <c r="J54" s="190"/>
      <c r="K54" s="190">
        <v>0</v>
      </c>
      <c r="L54" s="191">
        <v>0</v>
      </c>
      <c r="M54" s="191">
        <f>K54</f>
        <v>0</v>
      </c>
      <c r="N54" s="192"/>
      <c r="O54" s="175">
        <f>L54+M54-N54</f>
        <v>0</v>
      </c>
    </row>
    <row r="55" spans="1:15" s="167" customFormat="1" ht="16.2" thickBot="1" x14ac:dyDescent="0.35">
      <c r="A55" s="193"/>
      <c r="B55" s="193"/>
      <c r="C55" s="193"/>
      <c r="D55" s="194" t="s">
        <v>38</v>
      </c>
      <c r="E55" s="196"/>
      <c r="F55" s="195"/>
      <c r="G55" s="196"/>
      <c r="H55" s="195"/>
      <c r="I55" s="197"/>
      <c r="J55" s="197"/>
      <c r="K55" s="197"/>
      <c r="L55" s="198"/>
      <c r="M55" s="198"/>
      <c r="N55" s="199"/>
      <c r="O55" s="200">
        <f>SUM(O51:O54)</f>
        <v>20243.889999999996</v>
      </c>
    </row>
    <row r="56" spans="1:15" s="167" customFormat="1" ht="15" x14ac:dyDescent="0.25">
      <c r="A56" s="193"/>
      <c r="B56" s="193"/>
      <c r="C56" s="193"/>
      <c r="D56" s="193"/>
      <c r="E56" s="201"/>
      <c r="F56" s="193"/>
      <c r="G56" s="201"/>
      <c r="H56" s="193"/>
      <c r="I56" s="193"/>
      <c r="J56" s="193"/>
      <c r="K56" s="193"/>
      <c r="L56" s="193"/>
      <c r="M56" s="202"/>
      <c r="N56" s="203"/>
      <c r="O56" s="204"/>
    </row>
    <row r="57" spans="1:15" s="167" customFormat="1" ht="15.6" thickBot="1" x14ac:dyDescent="0.3">
      <c r="A57" s="193"/>
      <c r="B57" s="193"/>
      <c r="C57" s="193"/>
      <c r="D57" s="193"/>
      <c r="E57" s="201"/>
      <c r="F57" s="193"/>
      <c r="G57" s="201"/>
      <c r="H57" s="193"/>
      <c r="I57" s="193"/>
      <c r="J57" s="193"/>
      <c r="K57" s="193"/>
      <c r="L57" s="193"/>
      <c r="M57" s="202"/>
      <c r="N57" s="203"/>
      <c r="O57" s="204"/>
    </row>
    <row r="58" spans="1:15" s="167" customFormat="1" ht="31.8" thickBot="1" x14ac:dyDescent="0.3">
      <c r="A58" s="160" t="s">
        <v>186</v>
      </c>
      <c r="B58" s="161" t="s">
        <v>0</v>
      </c>
      <c r="C58" s="162" t="s">
        <v>1</v>
      </c>
      <c r="D58" s="161"/>
      <c r="E58" s="162" t="s">
        <v>198</v>
      </c>
      <c r="F58" s="163" t="s">
        <v>199</v>
      </c>
      <c r="G58" s="162" t="s">
        <v>196</v>
      </c>
      <c r="H58" s="163" t="s">
        <v>9</v>
      </c>
      <c r="I58" s="161" t="s">
        <v>2</v>
      </c>
      <c r="J58" s="162" t="s">
        <v>10</v>
      </c>
      <c r="K58" s="162" t="s">
        <v>13</v>
      </c>
      <c r="L58" s="162" t="s">
        <v>14</v>
      </c>
      <c r="M58" s="164" t="s">
        <v>15</v>
      </c>
      <c r="N58" s="165" t="s">
        <v>11</v>
      </c>
      <c r="O58" s="166" t="s">
        <v>76</v>
      </c>
    </row>
    <row r="59" spans="1:15" s="167" customFormat="1" ht="30.6" thickBot="1" x14ac:dyDescent="0.3">
      <c r="A59" s="168">
        <v>1</v>
      </c>
      <c r="B59" s="432" t="s">
        <v>83</v>
      </c>
      <c r="C59" s="441"/>
      <c r="D59" s="169" t="s">
        <v>35</v>
      </c>
      <c r="E59" s="170">
        <v>97118.3</v>
      </c>
      <c r="F59" s="89">
        <v>46162</v>
      </c>
      <c r="G59" s="170">
        <v>100291.6</v>
      </c>
      <c r="H59" s="89">
        <v>46197</v>
      </c>
      <c r="I59" s="172">
        <f>G59-E59</f>
        <v>3173.3000000000029</v>
      </c>
      <c r="J59" s="172"/>
      <c r="K59" s="172">
        <v>257</v>
      </c>
      <c r="L59" s="173">
        <v>0</v>
      </c>
      <c r="M59" s="173">
        <f>I59*K59</f>
        <v>815538.10000000079</v>
      </c>
      <c r="N59" s="174">
        <v>0</v>
      </c>
      <c r="O59" s="175">
        <f>L59+M59+J59-N59</f>
        <v>815538.10000000079</v>
      </c>
    </row>
    <row r="60" spans="1:15" s="167" customFormat="1" ht="15.6" thickBot="1" x14ac:dyDescent="0.3">
      <c r="A60" s="168"/>
      <c r="B60" s="433"/>
      <c r="C60" s="442"/>
      <c r="D60" s="176" t="s">
        <v>36</v>
      </c>
      <c r="E60" s="177"/>
      <c r="F60" s="89">
        <v>46162</v>
      </c>
      <c r="G60" s="177"/>
      <c r="H60" s="89">
        <v>46197</v>
      </c>
      <c r="I60" s="172">
        <f>G60-E60</f>
        <v>0</v>
      </c>
      <c r="J60" s="172"/>
      <c r="K60" s="160"/>
      <c r="L60" s="178"/>
      <c r="M60" s="173">
        <f>I60*K60+J60</f>
        <v>0</v>
      </c>
      <c r="N60" s="179"/>
      <c r="O60" s="175">
        <f>L60+M60-N60</f>
        <v>0</v>
      </c>
    </row>
    <row r="61" spans="1:15" s="167" customFormat="1" ht="30.6" thickBot="1" x14ac:dyDescent="0.3">
      <c r="A61" s="168"/>
      <c r="B61" s="433"/>
      <c r="C61" s="442"/>
      <c r="D61" s="180" t="s">
        <v>37</v>
      </c>
      <c r="E61" s="182"/>
      <c r="F61" s="181"/>
      <c r="G61" s="182"/>
      <c r="H61" s="181"/>
      <c r="I61" s="183"/>
      <c r="J61" s="183"/>
      <c r="K61" s="183"/>
      <c r="L61" s="184">
        <v>0</v>
      </c>
      <c r="M61" s="185">
        <f>K61</f>
        <v>0</v>
      </c>
      <c r="N61" s="186"/>
      <c r="O61" s="175">
        <f>L61+M61-N61</f>
        <v>0</v>
      </c>
    </row>
    <row r="62" spans="1:15" s="167" customFormat="1" ht="30.6" thickBot="1" x14ac:dyDescent="0.3">
      <c r="A62" s="168"/>
      <c r="B62" s="434"/>
      <c r="C62" s="443"/>
      <c r="D62" s="187" t="s">
        <v>42</v>
      </c>
      <c r="E62" s="189"/>
      <c r="F62" s="188"/>
      <c r="G62" s="189"/>
      <c r="H62" s="188"/>
      <c r="I62" s="190"/>
      <c r="J62" s="190"/>
      <c r="K62" s="190">
        <v>0</v>
      </c>
      <c r="L62" s="191">
        <v>0</v>
      </c>
      <c r="M62" s="191">
        <f>K62</f>
        <v>0</v>
      </c>
      <c r="N62" s="192"/>
      <c r="O62" s="175">
        <f>L62+M62-N62</f>
        <v>0</v>
      </c>
    </row>
    <row r="63" spans="1:15" s="167" customFormat="1" ht="16.2" thickBot="1" x14ac:dyDescent="0.35">
      <c r="A63" s="193"/>
      <c r="B63" s="193"/>
      <c r="C63" s="193"/>
      <c r="D63" s="194" t="s">
        <v>38</v>
      </c>
      <c r="E63" s="196"/>
      <c r="F63" s="195"/>
      <c r="G63" s="196"/>
      <c r="H63" s="195"/>
      <c r="I63" s="197"/>
      <c r="J63" s="197"/>
      <c r="K63" s="197"/>
      <c r="L63" s="198"/>
      <c r="M63" s="198"/>
      <c r="N63" s="199"/>
      <c r="O63" s="200">
        <f>SUM(O59:O62)</f>
        <v>815538.10000000079</v>
      </c>
    </row>
    <row r="64" spans="1:15" s="167" customFormat="1" ht="15" x14ac:dyDescent="0.25">
      <c r="A64" s="193"/>
      <c r="B64" s="193"/>
      <c r="C64" s="193"/>
      <c r="D64" s="193"/>
      <c r="E64" s="201"/>
      <c r="F64" s="193"/>
      <c r="G64" s="201"/>
      <c r="H64" s="193"/>
      <c r="I64" s="193"/>
      <c r="J64" s="193"/>
      <c r="K64" s="193"/>
      <c r="L64" s="193"/>
      <c r="M64" s="202"/>
      <c r="N64" s="203"/>
      <c r="O64" s="204"/>
    </row>
    <row r="65" spans="1:15" s="167" customFormat="1" ht="15.6" thickBot="1" x14ac:dyDescent="0.3">
      <c r="A65" s="193"/>
      <c r="B65" s="193"/>
      <c r="C65" s="193"/>
      <c r="D65" s="193"/>
      <c r="E65" s="201"/>
      <c r="F65" s="193"/>
      <c r="G65" s="201"/>
      <c r="H65" s="193"/>
      <c r="I65" s="193"/>
      <c r="J65" s="193"/>
      <c r="K65" s="193"/>
      <c r="L65" s="193"/>
      <c r="M65" s="202"/>
      <c r="N65" s="203"/>
      <c r="O65" s="204"/>
    </row>
    <row r="66" spans="1:15" s="167" customFormat="1" ht="31.8" thickBot="1" x14ac:dyDescent="0.3">
      <c r="A66" s="160"/>
      <c r="B66" s="161" t="s">
        <v>0</v>
      </c>
      <c r="C66" s="162" t="s">
        <v>1</v>
      </c>
      <c r="D66" s="161"/>
      <c r="E66" s="162" t="s">
        <v>198</v>
      </c>
      <c r="F66" s="163" t="s">
        <v>199</v>
      </c>
      <c r="G66" s="162" t="s">
        <v>196</v>
      </c>
      <c r="H66" s="163" t="s">
        <v>9</v>
      </c>
      <c r="I66" s="161" t="s">
        <v>2</v>
      </c>
      <c r="J66" s="162" t="s">
        <v>10</v>
      </c>
      <c r="K66" s="162" t="s">
        <v>13</v>
      </c>
      <c r="L66" s="162" t="s">
        <v>14</v>
      </c>
      <c r="M66" s="164" t="s">
        <v>15</v>
      </c>
      <c r="N66" s="165" t="s">
        <v>11</v>
      </c>
      <c r="O66" s="166" t="s">
        <v>76</v>
      </c>
    </row>
    <row r="67" spans="1:15" s="167" customFormat="1" ht="30.6" thickBot="1" x14ac:dyDescent="0.3">
      <c r="A67" s="168">
        <v>1</v>
      </c>
      <c r="B67" s="432" t="s">
        <v>193</v>
      </c>
      <c r="C67" s="435"/>
      <c r="D67" s="169" t="s">
        <v>35</v>
      </c>
      <c r="E67" s="170">
        <v>14904.9</v>
      </c>
      <c r="F67" s="89">
        <v>46162</v>
      </c>
      <c r="G67" s="170">
        <v>15074.6</v>
      </c>
      <c r="H67" s="89">
        <v>46197</v>
      </c>
      <c r="I67" s="172">
        <f>G67-E67</f>
        <v>169.70000000000073</v>
      </c>
      <c r="J67" s="172"/>
      <c r="K67" s="172">
        <v>230</v>
      </c>
      <c r="L67" s="173">
        <v>0</v>
      </c>
      <c r="M67" s="173">
        <f>I67*K67</f>
        <v>39031.000000000167</v>
      </c>
      <c r="N67" s="174">
        <v>0</v>
      </c>
      <c r="O67" s="175">
        <f>L67+M67+J67-N67</f>
        <v>39031.000000000167</v>
      </c>
    </row>
    <row r="68" spans="1:15" s="167" customFormat="1" ht="15.6" thickBot="1" x14ac:dyDescent="0.3">
      <c r="A68" s="168"/>
      <c r="B68" s="433"/>
      <c r="C68" s="436"/>
      <c r="D68" s="176" t="s">
        <v>36</v>
      </c>
      <c r="E68" s="177"/>
      <c r="F68" s="89">
        <v>46162</v>
      </c>
      <c r="G68" s="177"/>
      <c r="H68" s="89">
        <v>46197</v>
      </c>
      <c r="I68" s="172">
        <f>G68-E68</f>
        <v>0</v>
      </c>
      <c r="J68" s="172"/>
      <c r="K68" s="160"/>
      <c r="L68" s="178"/>
      <c r="M68" s="173">
        <f>I68*K68+J68</f>
        <v>0</v>
      </c>
      <c r="N68" s="179"/>
      <c r="O68" s="175">
        <f>L68+M68-N68</f>
        <v>0</v>
      </c>
    </row>
    <row r="69" spans="1:15" s="167" customFormat="1" ht="30.6" thickBot="1" x14ac:dyDescent="0.3">
      <c r="A69" s="168"/>
      <c r="B69" s="433"/>
      <c r="C69" s="436"/>
      <c r="D69" s="180" t="s">
        <v>37</v>
      </c>
      <c r="E69" s="182"/>
      <c r="F69" s="181"/>
      <c r="G69" s="182"/>
      <c r="H69" s="181"/>
      <c r="I69" s="183"/>
      <c r="J69" s="183"/>
      <c r="K69" s="183"/>
      <c r="L69" s="184">
        <v>0</v>
      </c>
      <c r="M69" s="185">
        <f>K69</f>
        <v>0</v>
      </c>
      <c r="N69" s="186"/>
      <c r="O69" s="175">
        <f>L69+M69-N69</f>
        <v>0</v>
      </c>
    </row>
    <row r="70" spans="1:15" s="167" customFormat="1" ht="30.6" thickBot="1" x14ac:dyDescent="0.3">
      <c r="A70" s="168"/>
      <c r="B70" s="434"/>
      <c r="C70" s="437"/>
      <c r="D70" s="187" t="s">
        <v>42</v>
      </c>
      <c r="E70" s="189"/>
      <c r="F70" s="188"/>
      <c r="G70" s="189"/>
      <c r="H70" s="188"/>
      <c r="I70" s="190"/>
      <c r="J70" s="190"/>
      <c r="K70" s="190">
        <v>0</v>
      </c>
      <c r="L70" s="191">
        <v>0</v>
      </c>
      <c r="M70" s="191">
        <f>K70</f>
        <v>0</v>
      </c>
      <c r="N70" s="192"/>
      <c r="O70" s="175">
        <f>L70+M70-N70</f>
        <v>0</v>
      </c>
    </row>
    <row r="71" spans="1:15" s="167" customFormat="1" ht="16.2" thickBot="1" x14ac:dyDescent="0.35">
      <c r="A71" s="193"/>
      <c r="B71" s="193"/>
      <c r="C71" s="193"/>
      <c r="D71" s="194" t="s">
        <v>38</v>
      </c>
      <c r="E71" s="196"/>
      <c r="F71" s="195"/>
      <c r="G71" s="196"/>
      <c r="H71" s="195"/>
      <c r="I71" s="197"/>
      <c r="J71" s="197"/>
      <c r="K71" s="197"/>
      <c r="L71" s="198"/>
      <c r="M71" s="198"/>
      <c r="N71" s="199"/>
      <c r="O71" s="200">
        <f>SUM(O67:O70)</f>
        <v>39031.000000000167</v>
      </c>
    </row>
    <row r="72" spans="1:15" s="167" customFormat="1" ht="16.2" thickBot="1" x14ac:dyDescent="0.35">
      <c r="A72" s="193"/>
      <c r="B72" s="193"/>
      <c r="C72" s="193"/>
      <c r="D72" s="205"/>
      <c r="E72" s="207"/>
      <c r="F72" s="206"/>
      <c r="G72" s="207"/>
      <c r="H72" s="206"/>
      <c r="I72" s="193"/>
      <c r="J72" s="193"/>
      <c r="K72" s="193"/>
      <c r="L72" s="208"/>
      <c r="M72" s="208"/>
      <c r="N72" s="209"/>
      <c r="O72" s="210"/>
    </row>
    <row r="73" spans="1:15" s="167" customFormat="1" ht="31.8" thickBot="1" x14ac:dyDescent="0.3">
      <c r="A73" s="160"/>
      <c r="B73" s="161" t="s">
        <v>0</v>
      </c>
      <c r="C73" s="162" t="s">
        <v>1</v>
      </c>
      <c r="D73" s="161"/>
      <c r="E73" s="162" t="s">
        <v>198</v>
      </c>
      <c r="F73" s="163" t="s">
        <v>199</v>
      </c>
      <c r="G73" s="162" t="s">
        <v>196</v>
      </c>
      <c r="H73" s="163" t="s">
        <v>9</v>
      </c>
      <c r="I73" s="161" t="s">
        <v>2</v>
      </c>
      <c r="J73" s="162" t="s">
        <v>10</v>
      </c>
      <c r="K73" s="162" t="s">
        <v>13</v>
      </c>
      <c r="L73" s="162" t="s">
        <v>14</v>
      </c>
      <c r="M73" s="164" t="s">
        <v>15</v>
      </c>
      <c r="N73" s="165" t="s">
        <v>11</v>
      </c>
      <c r="O73" s="166" t="s">
        <v>76</v>
      </c>
    </row>
    <row r="74" spans="1:15" s="167" customFormat="1" ht="30.6" thickBot="1" x14ac:dyDescent="0.3">
      <c r="A74" s="168">
        <v>1</v>
      </c>
      <c r="B74" s="438" t="s">
        <v>86</v>
      </c>
      <c r="C74" s="435"/>
      <c r="D74" s="169" t="s">
        <v>35</v>
      </c>
      <c r="E74" s="170"/>
      <c r="F74" s="89">
        <v>46162</v>
      </c>
      <c r="G74" s="170"/>
      <c r="H74" s="89">
        <v>46197</v>
      </c>
      <c r="I74" s="172">
        <f>G74-E74</f>
        <v>0</v>
      </c>
      <c r="J74" s="172"/>
      <c r="K74" s="172"/>
      <c r="L74" s="173">
        <v>0</v>
      </c>
      <c r="M74" s="173">
        <f>I74*K74</f>
        <v>0</v>
      </c>
      <c r="N74" s="174">
        <v>0</v>
      </c>
      <c r="O74" s="175">
        <f>L74+M74+J74-N74</f>
        <v>0</v>
      </c>
    </row>
    <row r="75" spans="1:15" s="167" customFormat="1" ht="44.25" customHeight="1" thickBot="1" x14ac:dyDescent="0.3">
      <c r="A75" s="168"/>
      <c r="B75" s="439"/>
      <c r="C75" s="436"/>
      <c r="D75" s="176" t="s">
        <v>36</v>
      </c>
      <c r="E75" s="177">
        <v>3367</v>
      </c>
      <c r="F75" s="89">
        <v>46162</v>
      </c>
      <c r="G75" s="177">
        <v>3367</v>
      </c>
      <c r="H75" s="89">
        <v>46197</v>
      </c>
      <c r="I75" s="172">
        <f>G75-E75</f>
        <v>0</v>
      </c>
      <c r="J75" s="172"/>
      <c r="K75" s="160">
        <v>900</v>
      </c>
      <c r="L75" s="178"/>
      <c r="M75" s="173">
        <f>I75*K75+J75</f>
        <v>0</v>
      </c>
      <c r="N75" s="179"/>
      <c r="O75" s="175">
        <f>L75+M75-N75</f>
        <v>0</v>
      </c>
    </row>
    <row r="76" spans="1:15" s="167" customFormat="1" ht="42.75" customHeight="1" thickBot="1" x14ac:dyDescent="0.3">
      <c r="A76" s="168"/>
      <c r="B76" s="439"/>
      <c r="C76" s="436"/>
      <c r="D76" s="180" t="s">
        <v>37</v>
      </c>
      <c r="E76" s="182"/>
      <c r="F76" s="181"/>
      <c r="G76" s="182"/>
      <c r="H76" s="181"/>
      <c r="I76" s="183"/>
      <c r="J76" s="183"/>
      <c r="K76" s="183"/>
      <c r="L76" s="184">
        <v>0</v>
      </c>
      <c r="M76" s="185">
        <f>K76</f>
        <v>0</v>
      </c>
      <c r="N76" s="186"/>
      <c r="O76" s="175">
        <f>L76+M76-N76</f>
        <v>0</v>
      </c>
    </row>
    <row r="77" spans="1:15" s="167" customFormat="1" ht="36.75" customHeight="1" thickBot="1" x14ac:dyDescent="0.3">
      <c r="A77" s="168"/>
      <c r="B77" s="440"/>
      <c r="C77" s="437"/>
      <c r="D77" s="187" t="s">
        <v>42</v>
      </c>
      <c r="E77" s="189"/>
      <c r="F77" s="188"/>
      <c r="G77" s="189"/>
      <c r="H77" s="188"/>
      <c r="I77" s="190"/>
      <c r="J77" s="190"/>
      <c r="K77" s="190">
        <v>0</v>
      </c>
      <c r="L77" s="191">
        <v>0</v>
      </c>
      <c r="M77" s="191">
        <f>K77</f>
        <v>0</v>
      </c>
      <c r="N77" s="192"/>
      <c r="O77" s="175">
        <f>L77+M77-N77</f>
        <v>0</v>
      </c>
    </row>
    <row r="78" spans="1:15" s="167" customFormat="1" ht="16.2" thickBot="1" x14ac:dyDescent="0.35">
      <c r="A78" s="193"/>
      <c r="B78" s="193"/>
      <c r="C78" s="193"/>
      <c r="D78" s="194" t="s">
        <v>38</v>
      </c>
      <c r="E78" s="196"/>
      <c r="F78" s="195"/>
      <c r="G78" s="196"/>
      <c r="H78" s="195"/>
      <c r="I78" s="197"/>
      <c r="J78" s="197"/>
      <c r="K78" s="197"/>
      <c r="L78" s="198"/>
      <c r="M78" s="198"/>
      <c r="N78" s="199"/>
      <c r="O78" s="200">
        <f>SUM(O74:O77)</f>
        <v>0</v>
      </c>
    </row>
    <row r="79" spans="1:15" s="167" customFormat="1" ht="15" x14ac:dyDescent="0.25">
      <c r="A79" s="193"/>
      <c r="B79" s="193"/>
      <c r="C79" s="193"/>
      <c r="D79" s="193"/>
      <c r="E79" s="201"/>
      <c r="F79" s="193"/>
      <c r="G79" s="201"/>
      <c r="H79" s="193"/>
      <c r="I79" s="193"/>
      <c r="J79" s="193"/>
      <c r="K79" s="193"/>
      <c r="L79" s="193"/>
      <c r="M79" s="202"/>
      <c r="N79" s="203"/>
      <c r="O79" s="204"/>
    </row>
    <row r="80" spans="1:15" s="167" customFormat="1" ht="15.6" thickBot="1" x14ac:dyDescent="0.3">
      <c r="A80" s="193"/>
      <c r="B80" s="193"/>
      <c r="C80" s="193"/>
      <c r="D80" s="193"/>
      <c r="E80" s="201"/>
      <c r="F80" s="193"/>
      <c r="G80" s="201"/>
      <c r="H80" s="193"/>
      <c r="I80" s="193"/>
      <c r="J80" s="193"/>
      <c r="K80" s="193"/>
      <c r="L80" s="193"/>
      <c r="M80" s="202"/>
      <c r="N80" s="203"/>
      <c r="O80" s="204"/>
    </row>
    <row r="81" spans="1:15" s="167" customFormat="1" ht="31.8" thickBot="1" x14ac:dyDescent="0.3">
      <c r="A81" s="160"/>
      <c r="B81" s="211" t="s">
        <v>0</v>
      </c>
      <c r="C81" s="212" t="s">
        <v>1</v>
      </c>
      <c r="D81" s="211"/>
      <c r="E81" s="212" t="s">
        <v>198</v>
      </c>
      <c r="F81" s="213" t="s">
        <v>199</v>
      </c>
      <c r="G81" s="212" t="s">
        <v>196</v>
      </c>
      <c r="H81" s="213" t="s">
        <v>9</v>
      </c>
      <c r="I81" s="211" t="s">
        <v>2</v>
      </c>
      <c r="J81" s="212" t="s">
        <v>10</v>
      </c>
      <c r="K81" s="212" t="s">
        <v>13</v>
      </c>
      <c r="L81" s="212" t="s">
        <v>14</v>
      </c>
      <c r="M81" s="214" t="s">
        <v>15</v>
      </c>
      <c r="N81" s="215" t="s">
        <v>11</v>
      </c>
      <c r="O81" s="216" t="s">
        <v>76</v>
      </c>
    </row>
    <row r="82" spans="1:15" s="167" customFormat="1" ht="30.6" thickBot="1" x14ac:dyDescent="0.3">
      <c r="A82" s="168">
        <v>1</v>
      </c>
      <c r="B82" s="432" t="s">
        <v>174</v>
      </c>
      <c r="C82" s="444"/>
      <c r="D82" s="217" t="s">
        <v>35</v>
      </c>
      <c r="E82" s="218">
        <v>17443.3</v>
      </c>
      <c r="F82" s="89">
        <v>46162</v>
      </c>
      <c r="G82" s="218">
        <v>18077.900000000001</v>
      </c>
      <c r="H82" s="89">
        <v>46197</v>
      </c>
      <c r="I82" s="219">
        <f>G82-E82</f>
        <v>634.60000000000218</v>
      </c>
      <c r="J82" s="219"/>
      <c r="K82" s="219">
        <v>257</v>
      </c>
      <c r="L82" s="220">
        <v>0</v>
      </c>
      <c r="M82" s="220">
        <f>I82*K82</f>
        <v>163092.20000000056</v>
      </c>
      <c r="N82" s="221">
        <v>0</v>
      </c>
      <c r="O82" s="222">
        <f>L82+M82+J82-N82</f>
        <v>163092.20000000056</v>
      </c>
    </row>
    <row r="83" spans="1:15" s="167" customFormat="1" ht="15.6" thickBot="1" x14ac:dyDescent="0.3">
      <c r="A83" s="168"/>
      <c r="B83" s="433"/>
      <c r="C83" s="445"/>
      <c r="D83" s="212" t="s">
        <v>36</v>
      </c>
      <c r="E83" s="214"/>
      <c r="F83" s="89"/>
      <c r="G83" s="214"/>
      <c r="H83" s="89"/>
      <c r="I83" s="219">
        <f>G83-E83</f>
        <v>0</v>
      </c>
      <c r="J83" s="219"/>
      <c r="K83" s="211"/>
      <c r="L83" s="223"/>
      <c r="M83" s="220">
        <f>I83*K83+J83</f>
        <v>0</v>
      </c>
      <c r="N83" s="224"/>
      <c r="O83" s="222">
        <f>L83+M83-N83</f>
        <v>0</v>
      </c>
    </row>
    <row r="84" spans="1:15" s="167" customFormat="1" ht="30.6" thickBot="1" x14ac:dyDescent="0.3">
      <c r="A84" s="168"/>
      <c r="B84" s="433"/>
      <c r="C84" s="445"/>
      <c r="D84" s="225" t="s">
        <v>37</v>
      </c>
      <c r="E84" s="227"/>
      <c r="F84" s="226"/>
      <c r="G84" s="227"/>
      <c r="H84" s="226"/>
      <c r="I84" s="228"/>
      <c r="J84" s="228"/>
      <c r="K84" s="228"/>
      <c r="L84" s="229">
        <v>0</v>
      </c>
      <c r="M84" s="230">
        <f>K84</f>
        <v>0</v>
      </c>
      <c r="N84" s="231"/>
      <c r="O84" s="222">
        <f>L84+M84-N84</f>
        <v>0</v>
      </c>
    </row>
    <row r="85" spans="1:15" s="167" customFormat="1" ht="30.6" thickBot="1" x14ac:dyDescent="0.3">
      <c r="A85" s="168"/>
      <c r="B85" s="434"/>
      <c r="C85" s="446"/>
      <c r="D85" s="232" t="s">
        <v>42</v>
      </c>
      <c r="E85" s="234"/>
      <c r="F85" s="233"/>
      <c r="G85" s="234"/>
      <c r="H85" s="233"/>
      <c r="I85" s="235"/>
      <c r="J85" s="235"/>
      <c r="K85" s="235">
        <v>0</v>
      </c>
      <c r="L85" s="236">
        <v>0</v>
      </c>
      <c r="M85" s="236">
        <f>K85</f>
        <v>0</v>
      </c>
      <c r="N85" s="237"/>
      <c r="O85" s="222">
        <f>L85+M85-N85</f>
        <v>0</v>
      </c>
    </row>
    <row r="86" spans="1:15" s="167" customFormat="1" ht="16.2" thickBot="1" x14ac:dyDescent="0.35">
      <c r="A86" s="193"/>
      <c r="B86" s="238"/>
      <c r="C86" s="238"/>
      <c r="D86" s="239" t="s">
        <v>38</v>
      </c>
      <c r="E86" s="241"/>
      <c r="F86" s="240"/>
      <c r="G86" s="241"/>
      <c r="H86" s="240"/>
      <c r="I86" s="242"/>
      <c r="J86" s="242"/>
      <c r="K86" s="242"/>
      <c r="L86" s="243"/>
      <c r="M86" s="243"/>
      <c r="N86" s="244"/>
      <c r="O86" s="245">
        <f>SUM(O82:O85)</f>
        <v>163092.20000000056</v>
      </c>
    </row>
    <row r="87" spans="1:15" s="167" customFormat="1" ht="16.2" thickBot="1" x14ac:dyDescent="0.35">
      <c r="A87" s="193"/>
      <c r="B87" s="238"/>
      <c r="C87" s="238"/>
      <c r="D87" s="246"/>
      <c r="E87" s="248"/>
      <c r="F87" s="247"/>
      <c r="G87" s="248"/>
      <c r="H87" s="247"/>
      <c r="I87" s="238"/>
      <c r="J87" s="238"/>
      <c r="K87" s="238"/>
      <c r="L87" s="249"/>
      <c r="M87" s="249"/>
      <c r="N87" s="250"/>
      <c r="O87" s="251"/>
    </row>
    <row r="88" spans="1:15" s="167" customFormat="1" ht="31.8" thickBot="1" x14ac:dyDescent="0.3">
      <c r="A88" s="160"/>
      <c r="B88" s="211" t="s">
        <v>0</v>
      </c>
      <c r="C88" s="212" t="s">
        <v>1</v>
      </c>
      <c r="D88" s="211"/>
      <c r="E88" s="212" t="s">
        <v>198</v>
      </c>
      <c r="F88" s="213" t="s">
        <v>199</v>
      </c>
      <c r="G88" s="212" t="s">
        <v>196</v>
      </c>
      <c r="H88" s="213" t="s">
        <v>9</v>
      </c>
      <c r="I88" s="211" t="s">
        <v>2</v>
      </c>
      <c r="J88" s="212" t="s">
        <v>10</v>
      </c>
      <c r="K88" s="212" t="s">
        <v>13</v>
      </c>
      <c r="L88" s="212" t="s">
        <v>14</v>
      </c>
      <c r="M88" s="214" t="s">
        <v>15</v>
      </c>
      <c r="N88" s="215" t="s">
        <v>11</v>
      </c>
      <c r="O88" s="216" t="s">
        <v>76</v>
      </c>
    </row>
    <row r="89" spans="1:15" s="167" customFormat="1" ht="30.6" thickBot="1" x14ac:dyDescent="0.3">
      <c r="A89" s="168">
        <v>1</v>
      </c>
      <c r="B89" s="432" t="s">
        <v>175</v>
      </c>
      <c r="C89" s="444"/>
      <c r="D89" s="217" t="s">
        <v>35</v>
      </c>
      <c r="E89" s="218">
        <v>35179.199999999997</v>
      </c>
      <c r="F89" s="89">
        <v>46162</v>
      </c>
      <c r="G89" s="218">
        <v>35560.300000000003</v>
      </c>
      <c r="H89" s="89">
        <v>46197</v>
      </c>
      <c r="I89" s="219">
        <f>G89-E89</f>
        <v>381.10000000000582</v>
      </c>
      <c r="J89" s="219"/>
      <c r="K89" s="219">
        <v>257</v>
      </c>
      <c r="L89" s="220">
        <v>0</v>
      </c>
      <c r="M89" s="220">
        <f>I89*K89</f>
        <v>97942.700000001496</v>
      </c>
      <c r="N89" s="221">
        <v>0</v>
      </c>
      <c r="O89" s="222">
        <f>L89+M89+J89-N89</f>
        <v>97942.700000001496</v>
      </c>
    </row>
    <row r="90" spans="1:15" s="167" customFormat="1" ht="30.75" customHeight="1" thickBot="1" x14ac:dyDescent="0.3">
      <c r="A90" s="168"/>
      <c r="B90" s="433"/>
      <c r="C90" s="445"/>
      <c r="D90" s="212" t="s">
        <v>36</v>
      </c>
      <c r="E90" s="214"/>
      <c r="F90" s="89"/>
      <c r="G90" s="214"/>
      <c r="H90" s="89"/>
      <c r="I90" s="219">
        <f>G90-E90</f>
        <v>0</v>
      </c>
      <c r="J90" s="219"/>
      <c r="K90" s="211"/>
      <c r="L90" s="223"/>
      <c r="M90" s="220">
        <f>I90*K90+J90</f>
        <v>0</v>
      </c>
      <c r="N90" s="224"/>
      <c r="O90" s="222">
        <f>L90+M90-N90</f>
        <v>0</v>
      </c>
    </row>
    <row r="91" spans="1:15" s="167" customFormat="1" ht="30.6" thickBot="1" x14ac:dyDescent="0.3">
      <c r="A91" s="168"/>
      <c r="B91" s="433"/>
      <c r="C91" s="445"/>
      <c r="D91" s="225" t="s">
        <v>37</v>
      </c>
      <c r="E91" s="227"/>
      <c r="F91" s="226"/>
      <c r="G91" s="227"/>
      <c r="H91" s="226"/>
      <c r="I91" s="228"/>
      <c r="J91" s="228"/>
      <c r="K91" s="228"/>
      <c r="L91" s="229">
        <v>0</v>
      </c>
      <c r="M91" s="230">
        <f>K91</f>
        <v>0</v>
      </c>
      <c r="N91" s="231"/>
      <c r="O91" s="222">
        <f>L91+M91-N91</f>
        <v>0</v>
      </c>
    </row>
    <row r="92" spans="1:15" s="167" customFormat="1" ht="30.6" thickBot="1" x14ac:dyDescent="0.3">
      <c r="A92" s="168"/>
      <c r="B92" s="434"/>
      <c r="C92" s="446"/>
      <c r="D92" s="232" t="s">
        <v>42</v>
      </c>
      <c r="E92" s="234"/>
      <c r="F92" s="233"/>
      <c r="G92" s="234"/>
      <c r="H92" s="233"/>
      <c r="I92" s="235"/>
      <c r="J92" s="235"/>
      <c r="K92" s="235">
        <v>0</v>
      </c>
      <c r="L92" s="236">
        <v>0</v>
      </c>
      <c r="M92" s="236">
        <f>K92</f>
        <v>0</v>
      </c>
      <c r="N92" s="237"/>
      <c r="O92" s="222">
        <f>L92+M92-N92</f>
        <v>0</v>
      </c>
    </row>
    <row r="93" spans="1:15" s="167" customFormat="1" ht="16.2" thickBot="1" x14ac:dyDescent="0.35">
      <c r="A93" s="193"/>
      <c r="B93" s="238"/>
      <c r="C93" s="238"/>
      <c r="D93" s="239" t="s">
        <v>38</v>
      </c>
      <c r="E93" s="241"/>
      <c r="F93" s="240"/>
      <c r="G93" s="241"/>
      <c r="H93" s="240"/>
      <c r="I93" s="242"/>
      <c r="J93" s="242"/>
      <c r="K93" s="242"/>
      <c r="L93" s="243"/>
      <c r="M93" s="243"/>
      <c r="N93" s="244"/>
      <c r="O93" s="245">
        <f>SUM(O89:O92)</f>
        <v>97942.700000001496</v>
      </c>
    </row>
    <row r="94" spans="1:15" s="167" customFormat="1" ht="15" x14ac:dyDescent="0.25">
      <c r="A94" s="193"/>
      <c r="B94" s="238"/>
      <c r="C94" s="238"/>
      <c r="D94" s="238"/>
      <c r="E94" s="252"/>
      <c r="F94" s="238"/>
      <c r="G94" s="252"/>
      <c r="H94" s="238"/>
      <c r="I94" s="238"/>
      <c r="J94" s="238"/>
      <c r="K94" s="238"/>
      <c r="L94" s="238"/>
      <c r="M94" s="253"/>
      <c r="N94" s="254"/>
      <c r="O94" s="255"/>
    </row>
    <row r="95" spans="1:15" s="167" customFormat="1" ht="15" x14ac:dyDescent="0.25">
      <c r="A95" s="193"/>
      <c r="B95" s="238"/>
      <c r="C95" s="238"/>
      <c r="D95" s="238"/>
      <c r="E95" s="252"/>
      <c r="F95" s="238"/>
      <c r="G95" s="252"/>
      <c r="H95" s="238"/>
      <c r="I95" s="238"/>
      <c r="J95" s="238"/>
      <c r="K95" s="238"/>
      <c r="L95" s="238"/>
      <c r="M95" s="253"/>
      <c r="N95" s="254"/>
      <c r="O95" s="255"/>
    </row>
    <row r="96" spans="1:15" s="167" customFormat="1" ht="15.6" thickBot="1" x14ac:dyDescent="0.3">
      <c r="A96" s="193"/>
      <c r="B96" s="238"/>
      <c r="C96" s="238"/>
      <c r="D96" s="238"/>
      <c r="E96" s="252"/>
      <c r="F96" s="238"/>
      <c r="G96" s="252"/>
      <c r="H96" s="238"/>
      <c r="I96" s="238"/>
      <c r="J96" s="238"/>
      <c r="K96" s="238"/>
      <c r="L96" s="238"/>
      <c r="M96" s="253"/>
      <c r="N96" s="254"/>
      <c r="O96" s="255"/>
    </row>
    <row r="97" spans="1:15" s="167" customFormat="1" ht="31.8" thickBot="1" x14ac:dyDescent="0.3">
      <c r="A97" s="160"/>
      <c r="B97" s="211" t="s">
        <v>0</v>
      </c>
      <c r="C97" s="212" t="s">
        <v>1</v>
      </c>
      <c r="D97" s="211"/>
      <c r="E97" s="212" t="s">
        <v>198</v>
      </c>
      <c r="F97" s="213" t="s">
        <v>199</v>
      </c>
      <c r="G97" s="212" t="s">
        <v>196</v>
      </c>
      <c r="H97" s="213" t="s">
        <v>9</v>
      </c>
      <c r="I97" s="211" t="s">
        <v>2</v>
      </c>
      <c r="J97" s="212" t="s">
        <v>10</v>
      </c>
      <c r="K97" s="212" t="s">
        <v>13</v>
      </c>
      <c r="L97" s="212" t="s">
        <v>14</v>
      </c>
      <c r="M97" s="214" t="s">
        <v>15</v>
      </c>
      <c r="N97" s="215" t="s">
        <v>11</v>
      </c>
      <c r="O97" s="216" t="s">
        <v>76</v>
      </c>
    </row>
    <row r="98" spans="1:15" s="167" customFormat="1" ht="30.6" thickBot="1" x14ac:dyDescent="0.3">
      <c r="A98" s="168">
        <v>1</v>
      </c>
      <c r="B98" s="432" t="s">
        <v>176</v>
      </c>
      <c r="C98" s="444"/>
      <c r="D98" s="217" t="s">
        <v>35</v>
      </c>
      <c r="E98" s="218">
        <v>9777.6</v>
      </c>
      <c r="F98" s="89">
        <v>46162</v>
      </c>
      <c r="G98" s="218">
        <v>10058.5</v>
      </c>
      <c r="H98" s="89">
        <v>46197</v>
      </c>
      <c r="I98" s="219">
        <f>G98-E98</f>
        <v>280.89999999999964</v>
      </c>
      <c r="J98" s="219"/>
      <c r="K98" s="219">
        <v>257</v>
      </c>
      <c r="L98" s="220">
        <v>0</v>
      </c>
      <c r="M98" s="220">
        <f>I98*K98</f>
        <v>72191.299999999901</v>
      </c>
      <c r="N98" s="221">
        <v>0</v>
      </c>
      <c r="O98" s="222">
        <f>L98+M98+J98-N98</f>
        <v>72191.299999999901</v>
      </c>
    </row>
    <row r="99" spans="1:15" s="167" customFormat="1" ht="15.6" thickBot="1" x14ac:dyDescent="0.3">
      <c r="A99" s="168"/>
      <c r="B99" s="433"/>
      <c r="C99" s="445"/>
      <c r="D99" s="212" t="s">
        <v>36</v>
      </c>
      <c r="E99" s="214"/>
      <c r="F99" s="89"/>
      <c r="G99" s="214"/>
      <c r="H99" s="89"/>
      <c r="I99" s="219">
        <f>G99-E99</f>
        <v>0</v>
      </c>
      <c r="J99" s="219"/>
      <c r="K99" s="211"/>
      <c r="L99" s="223"/>
      <c r="M99" s="220">
        <f>I99*K99+J99</f>
        <v>0</v>
      </c>
      <c r="N99" s="224"/>
      <c r="O99" s="222">
        <f>L99+M99-N99</f>
        <v>0</v>
      </c>
    </row>
    <row r="100" spans="1:15" s="167" customFormat="1" ht="30.6" thickBot="1" x14ac:dyDescent="0.3">
      <c r="A100" s="168"/>
      <c r="B100" s="433"/>
      <c r="C100" s="445"/>
      <c r="D100" s="225" t="s">
        <v>37</v>
      </c>
      <c r="E100" s="227"/>
      <c r="F100" s="226"/>
      <c r="G100" s="227"/>
      <c r="H100" s="226"/>
      <c r="I100" s="228"/>
      <c r="J100" s="228"/>
      <c r="K100" s="228"/>
      <c r="L100" s="229">
        <v>0</v>
      </c>
      <c r="M100" s="230">
        <f>K100</f>
        <v>0</v>
      </c>
      <c r="N100" s="231"/>
      <c r="O100" s="222">
        <f>L100+M100-N100</f>
        <v>0</v>
      </c>
    </row>
    <row r="101" spans="1:15" s="167" customFormat="1" ht="30.6" thickBot="1" x14ac:dyDescent="0.3">
      <c r="A101" s="168"/>
      <c r="B101" s="434"/>
      <c r="C101" s="446"/>
      <c r="D101" s="232" t="s">
        <v>42</v>
      </c>
      <c r="E101" s="234"/>
      <c r="F101" s="233"/>
      <c r="G101" s="234"/>
      <c r="H101" s="233"/>
      <c r="I101" s="235"/>
      <c r="J101" s="235"/>
      <c r="K101" s="235">
        <v>0</v>
      </c>
      <c r="L101" s="236">
        <v>0</v>
      </c>
      <c r="M101" s="236">
        <f>K101</f>
        <v>0</v>
      </c>
      <c r="N101" s="237"/>
      <c r="O101" s="222">
        <f>L101+M101-N101</f>
        <v>0</v>
      </c>
    </row>
    <row r="102" spans="1:15" s="167" customFormat="1" ht="16.2" thickBot="1" x14ac:dyDescent="0.35">
      <c r="A102" s="193"/>
      <c r="B102" s="238"/>
      <c r="C102" s="238"/>
      <c r="D102" s="239" t="s">
        <v>38</v>
      </c>
      <c r="E102" s="241"/>
      <c r="F102" s="240"/>
      <c r="G102" s="241"/>
      <c r="H102" s="240"/>
      <c r="I102" s="242"/>
      <c r="J102" s="242"/>
      <c r="K102" s="242"/>
      <c r="L102" s="243"/>
      <c r="M102" s="243"/>
      <c r="N102" s="244"/>
      <c r="O102" s="245">
        <f>SUM(O98:O101)</f>
        <v>72191.299999999901</v>
      </c>
    </row>
    <row r="103" spans="1:15" s="167" customFormat="1" ht="15" x14ac:dyDescent="0.25"/>
    <row r="104" spans="1:15" s="167" customFormat="1" ht="15" x14ac:dyDescent="0.25"/>
    <row r="105" spans="1:15" s="167" customFormat="1" ht="15" x14ac:dyDescent="0.25"/>
    <row r="106" spans="1:15" ht="14.4" thickBot="1" x14ac:dyDescent="0.3"/>
    <row r="107" spans="1:15" ht="31.8" thickBot="1" x14ac:dyDescent="0.3">
      <c r="A107" s="160"/>
      <c r="B107" s="160" t="s">
        <v>0</v>
      </c>
      <c r="C107" s="176" t="s">
        <v>1</v>
      </c>
      <c r="D107" s="160"/>
      <c r="E107" s="176" t="s">
        <v>198</v>
      </c>
      <c r="F107" s="287" t="s">
        <v>199</v>
      </c>
      <c r="G107" s="176" t="s">
        <v>196</v>
      </c>
      <c r="H107" s="287" t="s">
        <v>9</v>
      </c>
      <c r="I107" s="160" t="s">
        <v>2</v>
      </c>
      <c r="J107" s="176" t="s">
        <v>10</v>
      </c>
      <c r="K107" s="176" t="s">
        <v>13</v>
      </c>
      <c r="L107" s="176" t="s">
        <v>14</v>
      </c>
      <c r="M107" s="288" t="s">
        <v>15</v>
      </c>
      <c r="N107" s="289" t="s">
        <v>11</v>
      </c>
      <c r="O107" s="290" t="s">
        <v>76</v>
      </c>
    </row>
    <row r="108" spans="1:15" ht="30.6" thickBot="1" x14ac:dyDescent="0.3">
      <c r="A108" s="291">
        <v>1</v>
      </c>
      <c r="B108" s="438" t="s">
        <v>177</v>
      </c>
      <c r="C108" s="435"/>
      <c r="D108" s="169" t="s">
        <v>35</v>
      </c>
      <c r="E108" s="292">
        <v>37578.5</v>
      </c>
      <c r="F108" s="89">
        <v>46162</v>
      </c>
      <c r="G108" s="292">
        <v>38097.300000000003</v>
      </c>
      <c r="H108" s="89">
        <v>46197</v>
      </c>
      <c r="I108" s="172">
        <f>G108-E108</f>
        <v>518.80000000000291</v>
      </c>
      <c r="J108" s="172"/>
      <c r="K108" s="172">
        <v>257</v>
      </c>
      <c r="L108" s="293">
        <v>0</v>
      </c>
      <c r="M108" s="293">
        <f>I108*K108</f>
        <v>133331.60000000073</v>
      </c>
      <c r="N108" s="294">
        <v>0</v>
      </c>
      <c r="O108" s="295">
        <f>L108+M108+J108-N108</f>
        <v>133331.60000000073</v>
      </c>
    </row>
    <row r="109" spans="1:15" ht="15.6" thickBot="1" x14ac:dyDescent="0.3">
      <c r="A109" s="291"/>
      <c r="B109" s="439"/>
      <c r="C109" s="436"/>
      <c r="D109" s="176" t="s">
        <v>36</v>
      </c>
      <c r="E109" s="288"/>
      <c r="F109" s="89"/>
      <c r="G109" s="288"/>
      <c r="H109" s="89"/>
      <c r="I109" s="172">
        <f>G109-E109</f>
        <v>0</v>
      </c>
      <c r="J109" s="172"/>
      <c r="K109" s="160"/>
      <c r="L109" s="296"/>
      <c r="M109" s="293">
        <f>I109*K109+J109</f>
        <v>0</v>
      </c>
      <c r="N109" s="297"/>
      <c r="O109" s="295">
        <f>L109+M109-N109</f>
        <v>0</v>
      </c>
    </row>
    <row r="110" spans="1:15" ht="30.6" thickBot="1" x14ac:dyDescent="0.3">
      <c r="A110" s="291"/>
      <c r="B110" s="439"/>
      <c r="C110" s="436"/>
      <c r="D110" s="180" t="s">
        <v>37</v>
      </c>
      <c r="E110" s="298"/>
      <c r="F110" s="181"/>
      <c r="G110" s="298"/>
      <c r="H110" s="181"/>
      <c r="I110" s="183"/>
      <c r="J110" s="183"/>
      <c r="K110" s="183"/>
      <c r="L110" s="299">
        <v>0</v>
      </c>
      <c r="M110" s="300">
        <f>K110</f>
        <v>0</v>
      </c>
      <c r="N110" s="301"/>
      <c r="O110" s="295">
        <f>L110+M110-N110</f>
        <v>0</v>
      </c>
    </row>
    <row r="111" spans="1:15" ht="30.6" thickBot="1" x14ac:dyDescent="0.3">
      <c r="A111" s="291"/>
      <c r="B111" s="440"/>
      <c r="C111" s="437"/>
      <c r="D111" s="187" t="s">
        <v>42</v>
      </c>
      <c r="E111" s="302"/>
      <c r="F111" s="188"/>
      <c r="G111" s="302"/>
      <c r="H111" s="188"/>
      <c r="I111" s="190"/>
      <c r="J111" s="190"/>
      <c r="K111" s="190">
        <v>0</v>
      </c>
      <c r="L111" s="303">
        <v>0</v>
      </c>
      <c r="M111" s="303">
        <f>K111</f>
        <v>0</v>
      </c>
      <c r="N111" s="304"/>
      <c r="O111" s="295">
        <f>L111+M111-N111</f>
        <v>0</v>
      </c>
    </row>
    <row r="112" spans="1:15" ht="16.2" thickBot="1" x14ac:dyDescent="0.35">
      <c r="A112" s="193"/>
      <c r="B112" s="193"/>
      <c r="C112" s="193"/>
      <c r="D112" s="194" t="s">
        <v>38</v>
      </c>
      <c r="E112" s="305"/>
      <c r="F112" s="195"/>
      <c r="G112" s="305"/>
      <c r="H112" s="195"/>
      <c r="I112" s="197"/>
      <c r="J112" s="197"/>
      <c r="K112" s="197"/>
      <c r="L112" s="306"/>
      <c r="M112" s="306"/>
      <c r="N112" s="307"/>
      <c r="O112" s="308">
        <f>SUM(O108:O111)</f>
        <v>133331.60000000073</v>
      </c>
    </row>
    <row r="117" spans="1:15" ht="14.4" thickBot="1" x14ac:dyDescent="0.3"/>
    <row r="118" spans="1:15" ht="31.8" thickBot="1" x14ac:dyDescent="0.3">
      <c r="A118" s="160"/>
      <c r="B118" s="160" t="s">
        <v>0</v>
      </c>
      <c r="C118" s="176" t="s">
        <v>1</v>
      </c>
      <c r="D118" s="160"/>
      <c r="E118" s="176" t="s">
        <v>198</v>
      </c>
      <c r="F118" s="287" t="s">
        <v>199</v>
      </c>
      <c r="G118" s="176" t="s">
        <v>196</v>
      </c>
      <c r="H118" s="287" t="s">
        <v>9</v>
      </c>
      <c r="I118" s="160" t="s">
        <v>2</v>
      </c>
      <c r="J118" s="176" t="s">
        <v>10</v>
      </c>
      <c r="K118" s="176" t="s">
        <v>13</v>
      </c>
      <c r="L118" s="176" t="s">
        <v>14</v>
      </c>
      <c r="M118" s="288" t="s">
        <v>15</v>
      </c>
      <c r="N118" s="289" t="s">
        <v>11</v>
      </c>
      <c r="O118" s="290" t="s">
        <v>76</v>
      </c>
    </row>
    <row r="119" spans="1:15" ht="30.6" thickBot="1" x14ac:dyDescent="0.3">
      <c r="A119" s="291">
        <v>1</v>
      </c>
      <c r="B119" s="432" t="s">
        <v>178</v>
      </c>
      <c r="C119" s="435"/>
      <c r="D119" s="169" t="s">
        <v>35</v>
      </c>
      <c r="E119" s="292">
        <v>4386.8</v>
      </c>
      <c r="F119" s="89">
        <v>46162</v>
      </c>
      <c r="G119" s="292">
        <v>4846.8</v>
      </c>
      <c r="H119" s="89">
        <v>46197</v>
      </c>
      <c r="I119" s="172">
        <f>G119-E119</f>
        <v>460</v>
      </c>
      <c r="J119" s="172"/>
      <c r="K119" s="172">
        <v>230</v>
      </c>
      <c r="L119" s="293">
        <v>0</v>
      </c>
      <c r="M119" s="293">
        <f>I119*K119</f>
        <v>105800</v>
      </c>
      <c r="N119" s="294">
        <v>0</v>
      </c>
      <c r="O119" s="295">
        <f>L119+M119+J119-N119</f>
        <v>105800</v>
      </c>
    </row>
    <row r="120" spans="1:15" ht="15.6" thickBot="1" x14ac:dyDescent="0.3">
      <c r="A120" s="291"/>
      <c r="B120" s="433"/>
      <c r="C120" s="436"/>
      <c r="D120" s="176" t="s">
        <v>36</v>
      </c>
      <c r="E120" s="288"/>
      <c r="F120" s="89"/>
      <c r="G120" s="288"/>
      <c r="H120" s="89"/>
      <c r="I120" s="172">
        <f>G120-E120</f>
        <v>0</v>
      </c>
      <c r="J120" s="172"/>
      <c r="K120" s="160"/>
      <c r="L120" s="296"/>
      <c r="M120" s="293">
        <f>I120*K120+J120</f>
        <v>0</v>
      </c>
      <c r="N120" s="297"/>
      <c r="O120" s="295">
        <f>L120+M120-N120</f>
        <v>0</v>
      </c>
    </row>
    <row r="121" spans="1:15" ht="30.6" thickBot="1" x14ac:dyDescent="0.3">
      <c r="A121" s="291"/>
      <c r="B121" s="433"/>
      <c r="C121" s="436"/>
      <c r="D121" s="180" t="s">
        <v>37</v>
      </c>
      <c r="E121" s="298"/>
      <c r="F121" s="181"/>
      <c r="G121" s="298"/>
      <c r="H121" s="181"/>
      <c r="I121" s="183"/>
      <c r="J121" s="183"/>
      <c r="K121" s="183"/>
      <c r="L121" s="299">
        <v>0</v>
      </c>
      <c r="M121" s="300">
        <f>K121</f>
        <v>0</v>
      </c>
      <c r="N121" s="301"/>
      <c r="O121" s="295">
        <f>L121+M121-N121</f>
        <v>0</v>
      </c>
    </row>
    <row r="122" spans="1:15" ht="30.6" thickBot="1" x14ac:dyDescent="0.3">
      <c r="A122" s="291"/>
      <c r="B122" s="434"/>
      <c r="C122" s="437"/>
      <c r="D122" s="187" t="s">
        <v>42</v>
      </c>
      <c r="E122" s="302"/>
      <c r="F122" s="188"/>
      <c r="G122" s="302"/>
      <c r="H122" s="188"/>
      <c r="I122" s="190"/>
      <c r="J122" s="190"/>
      <c r="K122" s="190">
        <v>0</v>
      </c>
      <c r="L122" s="303">
        <v>0</v>
      </c>
      <c r="M122" s="303">
        <f>K122</f>
        <v>0</v>
      </c>
      <c r="N122" s="304"/>
      <c r="O122" s="295">
        <f>L122+M122-N122</f>
        <v>0</v>
      </c>
    </row>
    <row r="123" spans="1:15" ht="16.2" thickBot="1" x14ac:dyDescent="0.35">
      <c r="A123" s="193"/>
      <c r="B123" s="193"/>
      <c r="C123" s="193"/>
      <c r="D123" s="194" t="s">
        <v>38</v>
      </c>
      <c r="E123" s="305"/>
      <c r="F123" s="195"/>
      <c r="G123" s="305"/>
      <c r="H123" s="195"/>
      <c r="I123" s="197"/>
      <c r="J123" s="197"/>
      <c r="K123" s="197"/>
      <c r="L123" s="306"/>
      <c r="M123" s="306"/>
      <c r="N123" s="307"/>
      <c r="O123" s="308">
        <f>SUM(O119:O122)</f>
        <v>105800</v>
      </c>
    </row>
    <row r="127" spans="1:15" ht="14.4" thickBot="1" x14ac:dyDescent="0.3"/>
    <row r="128" spans="1:15" ht="31.8" thickBot="1" x14ac:dyDescent="0.3">
      <c r="A128" s="160"/>
      <c r="B128" s="160" t="s">
        <v>0</v>
      </c>
      <c r="C128" s="176" t="s">
        <v>1</v>
      </c>
      <c r="D128" s="160"/>
      <c r="E128" s="176" t="s">
        <v>198</v>
      </c>
      <c r="F128" s="287" t="s">
        <v>199</v>
      </c>
      <c r="G128" s="176" t="s">
        <v>196</v>
      </c>
      <c r="H128" s="287" t="s">
        <v>9</v>
      </c>
      <c r="I128" s="160" t="s">
        <v>2</v>
      </c>
      <c r="J128" s="176" t="s">
        <v>10</v>
      </c>
      <c r="K128" s="176" t="s">
        <v>13</v>
      </c>
      <c r="L128" s="176" t="s">
        <v>14</v>
      </c>
      <c r="M128" s="288" t="s">
        <v>15</v>
      </c>
      <c r="N128" s="289" t="s">
        <v>11</v>
      </c>
      <c r="O128" s="290" t="s">
        <v>76</v>
      </c>
    </row>
    <row r="129" spans="1:15" ht="30.6" thickBot="1" x14ac:dyDescent="0.3">
      <c r="A129" s="291">
        <v>1</v>
      </c>
      <c r="B129" s="438" t="s">
        <v>179</v>
      </c>
      <c r="C129" s="435"/>
      <c r="D129" s="169" t="s">
        <v>35</v>
      </c>
      <c r="E129" s="292">
        <v>9758.5</v>
      </c>
      <c r="F129" s="89">
        <v>46162</v>
      </c>
      <c r="G129" s="292">
        <v>10066.700000000001</v>
      </c>
      <c r="H129" s="89">
        <v>46197</v>
      </c>
      <c r="I129" s="172">
        <f>G129-E129</f>
        <v>308.20000000000073</v>
      </c>
      <c r="J129" s="172"/>
      <c r="K129" s="172">
        <v>257</v>
      </c>
      <c r="L129" s="293">
        <v>0</v>
      </c>
      <c r="M129" s="293">
        <f>I129*K129</f>
        <v>79207.400000000183</v>
      </c>
      <c r="N129" s="294">
        <v>0</v>
      </c>
      <c r="O129" s="295">
        <f>L129+M129+J129-N129</f>
        <v>79207.400000000183</v>
      </c>
    </row>
    <row r="130" spans="1:15" ht="15.6" thickBot="1" x14ac:dyDescent="0.3">
      <c r="A130" s="291"/>
      <c r="B130" s="439"/>
      <c r="C130" s="436"/>
      <c r="D130" s="176" t="s">
        <v>36</v>
      </c>
      <c r="E130" s="288"/>
      <c r="F130" s="89"/>
      <c r="G130" s="288"/>
      <c r="H130" s="89"/>
      <c r="I130" s="172">
        <f>G130-E130</f>
        <v>0</v>
      </c>
      <c r="J130" s="172"/>
      <c r="K130" s="160"/>
      <c r="L130" s="296"/>
      <c r="M130" s="293">
        <f>I130*K130+J130</f>
        <v>0</v>
      </c>
      <c r="N130" s="297"/>
      <c r="O130" s="295">
        <f>L130+M130-N130</f>
        <v>0</v>
      </c>
    </row>
    <row r="131" spans="1:15" ht="30.6" thickBot="1" x14ac:dyDescent="0.3">
      <c r="A131" s="291"/>
      <c r="B131" s="439"/>
      <c r="C131" s="436"/>
      <c r="D131" s="180" t="s">
        <v>37</v>
      </c>
      <c r="E131" s="298"/>
      <c r="F131" s="181"/>
      <c r="G131" s="298"/>
      <c r="H131" s="181"/>
      <c r="I131" s="183"/>
      <c r="J131" s="183"/>
      <c r="K131" s="183"/>
      <c r="L131" s="299">
        <v>0</v>
      </c>
      <c r="M131" s="300">
        <f>K131</f>
        <v>0</v>
      </c>
      <c r="N131" s="301"/>
      <c r="O131" s="295">
        <f>L131+M131-N131</f>
        <v>0</v>
      </c>
    </row>
    <row r="132" spans="1:15" ht="30.6" thickBot="1" x14ac:dyDescent="0.3">
      <c r="A132" s="291"/>
      <c r="B132" s="440"/>
      <c r="C132" s="437"/>
      <c r="D132" s="187" t="s">
        <v>42</v>
      </c>
      <c r="E132" s="302"/>
      <c r="F132" s="188"/>
      <c r="G132" s="302"/>
      <c r="H132" s="188"/>
      <c r="I132" s="190"/>
      <c r="J132" s="190"/>
      <c r="K132" s="190">
        <v>0</v>
      </c>
      <c r="L132" s="303">
        <v>0</v>
      </c>
      <c r="M132" s="303">
        <f>K132</f>
        <v>0</v>
      </c>
      <c r="N132" s="304"/>
      <c r="O132" s="295">
        <f>L132+M132-N132</f>
        <v>0</v>
      </c>
    </row>
    <row r="133" spans="1:15" ht="16.2" thickBot="1" x14ac:dyDescent="0.35">
      <c r="A133" s="193"/>
      <c r="B133" s="193"/>
      <c r="C133" s="193"/>
      <c r="D133" s="194" t="s">
        <v>38</v>
      </c>
      <c r="E133" s="305"/>
      <c r="F133" s="195"/>
      <c r="G133" s="305"/>
      <c r="H133" s="195"/>
      <c r="I133" s="197"/>
      <c r="J133" s="197"/>
      <c r="K133" s="197"/>
      <c r="L133" s="306"/>
      <c r="M133" s="306"/>
      <c r="N133" s="307"/>
      <c r="O133" s="308">
        <f>SUM(O129:O132)</f>
        <v>79207.400000000183</v>
      </c>
    </row>
    <row r="138" spans="1:15" ht="14.4" thickBot="1" x14ac:dyDescent="0.3"/>
    <row r="139" spans="1:15" ht="31.8" thickBot="1" x14ac:dyDescent="0.3">
      <c r="A139" s="160"/>
      <c r="B139" s="160" t="s">
        <v>0</v>
      </c>
      <c r="C139" s="176" t="s">
        <v>1</v>
      </c>
      <c r="D139" s="160"/>
      <c r="E139" s="176" t="s">
        <v>198</v>
      </c>
      <c r="F139" s="287" t="s">
        <v>199</v>
      </c>
      <c r="G139" s="176" t="s">
        <v>196</v>
      </c>
      <c r="H139" s="287" t="s">
        <v>9</v>
      </c>
      <c r="I139" s="160" t="s">
        <v>2</v>
      </c>
      <c r="J139" s="176" t="s">
        <v>10</v>
      </c>
      <c r="K139" s="176" t="s">
        <v>13</v>
      </c>
      <c r="L139" s="176" t="s">
        <v>14</v>
      </c>
      <c r="M139" s="288" t="s">
        <v>15</v>
      </c>
      <c r="N139" s="289" t="s">
        <v>11</v>
      </c>
      <c r="O139" s="290" t="s">
        <v>76</v>
      </c>
    </row>
    <row r="140" spans="1:15" ht="30.6" thickBot="1" x14ac:dyDescent="0.3">
      <c r="A140" s="291">
        <v>1</v>
      </c>
      <c r="B140" s="438" t="s">
        <v>180</v>
      </c>
      <c r="C140" s="435"/>
      <c r="D140" s="169" t="s">
        <v>35</v>
      </c>
      <c r="E140" s="292">
        <v>132637.1</v>
      </c>
      <c r="F140" s="89">
        <v>46162</v>
      </c>
      <c r="G140" s="292">
        <v>136758.5</v>
      </c>
      <c r="H140" s="89">
        <v>46197</v>
      </c>
      <c r="I140" s="172">
        <f>G140-E140</f>
        <v>4121.3999999999942</v>
      </c>
      <c r="J140" s="172"/>
      <c r="K140" s="172">
        <v>257</v>
      </c>
      <c r="L140" s="293">
        <v>0</v>
      </c>
      <c r="M140" s="293">
        <f>I140*K140</f>
        <v>1059199.7999999984</v>
      </c>
      <c r="N140" s="294">
        <v>0</v>
      </c>
      <c r="O140" s="295">
        <f>L140+M140+J140-N140</f>
        <v>1059199.7999999984</v>
      </c>
    </row>
    <row r="141" spans="1:15" ht="15.6" thickBot="1" x14ac:dyDescent="0.3">
      <c r="A141" s="291"/>
      <c r="B141" s="439"/>
      <c r="C141" s="436"/>
      <c r="D141" s="176" t="s">
        <v>36</v>
      </c>
      <c r="E141" s="288"/>
      <c r="F141" s="89"/>
      <c r="G141" s="288"/>
      <c r="H141" s="89"/>
      <c r="I141" s="172">
        <f>G141-E141</f>
        <v>0</v>
      </c>
      <c r="J141" s="172"/>
      <c r="K141" s="160"/>
      <c r="L141" s="296"/>
      <c r="M141" s="293">
        <f>I141*K141+J141</f>
        <v>0</v>
      </c>
      <c r="N141" s="297"/>
      <c r="O141" s="295">
        <f>L141+M141-N141</f>
        <v>0</v>
      </c>
    </row>
    <row r="142" spans="1:15" ht="30.6" thickBot="1" x14ac:dyDescent="0.3">
      <c r="A142" s="291"/>
      <c r="B142" s="439"/>
      <c r="C142" s="436"/>
      <c r="D142" s="180" t="s">
        <v>37</v>
      </c>
      <c r="E142" s="298"/>
      <c r="F142" s="181"/>
      <c r="G142" s="298"/>
      <c r="H142" s="181"/>
      <c r="I142" s="183"/>
      <c r="J142" s="183"/>
      <c r="K142" s="183"/>
      <c r="L142" s="299">
        <v>0</v>
      </c>
      <c r="M142" s="300">
        <f>K142</f>
        <v>0</v>
      </c>
      <c r="N142" s="301"/>
      <c r="O142" s="295">
        <f>L142+M142-N142</f>
        <v>0</v>
      </c>
    </row>
    <row r="143" spans="1:15" ht="30.6" thickBot="1" x14ac:dyDescent="0.3">
      <c r="A143" s="291"/>
      <c r="B143" s="440"/>
      <c r="C143" s="437"/>
      <c r="D143" s="187" t="s">
        <v>42</v>
      </c>
      <c r="E143" s="302"/>
      <c r="F143" s="188"/>
      <c r="G143" s="302"/>
      <c r="H143" s="188"/>
      <c r="I143" s="190"/>
      <c r="J143" s="190"/>
      <c r="K143" s="190">
        <v>0</v>
      </c>
      <c r="L143" s="303">
        <v>0</v>
      </c>
      <c r="M143" s="303">
        <f>K143</f>
        <v>0</v>
      </c>
      <c r="N143" s="304"/>
      <c r="O143" s="295">
        <f>L143+M143-N143</f>
        <v>0</v>
      </c>
    </row>
    <row r="144" spans="1:15" ht="16.2" thickBot="1" x14ac:dyDescent="0.35">
      <c r="A144" s="193"/>
      <c r="B144" s="193"/>
      <c r="C144" s="193"/>
      <c r="D144" s="194" t="s">
        <v>38</v>
      </c>
      <c r="E144" s="305"/>
      <c r="F144" s="195"/>
      <c r="G144" s="305"/>
      <c r="H144" s="195"/>
      <c r="I144" s="197"/>
      <c r="J144" s="197"/>
      <c r="K144" s="197"/>
      <c r="L144" s="306"/>
      <c r="M144" s="306"/>
      <c r="N144" s="307"/>
      <c r="O144" s="308">
        <f>SUM(O140:O143)</f>
        <v>1059199.7999999984</v>
      </c>
    </row>
    <row r="148" spans="1:15" ht="14.4" thickBot="1" x14ac:dyDescent="0.3"/>
    <row r="149" spans="1:15" ht="31.8" thickBot="1" x14ac:dyDescent="0.3">
      <c r="A149" s="160"/>
      <c r="B149" s="160" t="s">
        <v>0</v>
      </c>
      <c r="C149" s="176" t="s">
        <v>1</v>
      </c>
      <c r="D149" s="160"/>
      <c r="E149" s="176" t="s">
        <v>198</v>
      </c>
      <c r="F149" s="287" t="s">
        <v>199</v>
      </c>
      <c r="G149" s="176" t="s">
        <v>196</v>
      </c>
      <c r="H149" s="287" t="s">
        <v>9</v>
      </c>
      <c r="I149" s="160" t="s">
        <v>2</v>
      </c>
      <c r="J149" s="176" t="s">
        <v>10</v>
      </c>
      <c r="K149" s="176" t="s">
        <v>13</v>
      </c>
      <c r="L149" s="176" t="s">
        <v>14</v>
      </c>
      <c r="M149" s="288" t="s">
        <v>15</v>
      </c>
      <c r="N149" s="289" t="s">
        <v>11</v>
      </c>
      <c r="O149" s="290" t="s">
        <v>76</v>
      </c>
    </row>
    <row r="150" spans="1:15" ht="30.6" thickBot="1" x14ac:dyDescent="0.3">
      <c r="A150" s="291">
        <v>1</v>
      </c>
      <c r="B150" s="438" t="s">
        <v>181</v>
      </c>
      <c r="C150" s="435"/>
      <c r="D150" s="169" t="s">
        <v>35</v>
      </c>
      <c r="E150" s="292">
        <v>138810.20000000001</v>
      </c>
      <c r="F150" s="89">
        <v>46162</v>
      </c>
      <c r="G150" s="292">
        <v>145063.79999999999</v>
      </c>
      <c r="H150" s="89">
        <v>46197</v>
      </c>
      <c r="I150" s="172">
        <f>G150-E150</f>
        <v>6253.5999999999767</v>
      </c>
      <c r="J150" s="172"/>
      <c r="K150" s="172">
        <v>257</v>
      </c>
      <c r="L150" s="293">
        <v>0</v>
      </c>
      <c r="M150" s="293">
        <f>I150*K150</f>
        <v>1607175.1999999941</v>
      </c>
      <c r="N150" s="294">
        <v>0</v>
      </c>
      <c r="O150" s="295">
        <f>L150+M150+J150-N150</f>
        <v>1607175.1999999941</v>
      </c>
    </row>
    <row r="151" spans="1:15" ht="15.6" thickBot="1" x14ac:dyDescent="0.3">
      <c r="A151" s="291"/>
      <c r="B151" s="439"/>
      <c r="C151" s="436"/>
      <c r="D151" s="176" t="s">
        <v>36</v>
      </c>
      <c r="E151" s="288"/>
      <c r="F151" s="89"/>
      <c r="G151" s="288"/>
      <c r="H151" s="89"/>
      <c r="I151" s="172">
        <f>G151-E151</f>
        <v>0</v>
      </c>
      <c r="J151" s="172"/>
      <c r="K151" s="160"/>
      <c r="L151" s="296"/>
      <c r="M151" s="293">
        <f>I151*K151+J151</f>
        <v>0</v>
      </c>
      <c r="N151" s="297"/>
      <c r="O151" s="295">
        <f>L151+M151-N151</f>
        <v>0</v>
      </c>
    </row>
    <row r="152" spans="1:15" ht="30.6" thickBot="1" x14ac:dyDescent="0.3">
      <c r="A152" s="291"/>
      <c r="B152" s="439"/>
      <c r="C152" s="436"/>
      <c r="D152" s="180" t="s">
        <v>37</v>
      </c>
      <c r="E152" s="298"/>
      <c r="F152" s="181"/>
      <c r="G152" s="298"/>
      <c r="H152" s="181"/>
      <c r="I152" s="183"/>
      <c r="J152" s="183"/>
      <c r="K152" s="183"/>
      <c r="L152" s="299">
        <v>0</v>
      </c>
      <c r="M152" s="300">
        <f>K152</f>
        <v>0</v>
      </c>
      <c r="N152" s="301"/>
      <c r="O152" s="295">
        <f>L152+M152-N152</f>
        <v>0</v>
      </c>
    </row>
    <row r="153" spans="1:15" ht="30.6" thickBot="1" x14ac:dyDescent="0.3">
      <c r="A153" s="291"/>
      <c r="B153" s="440"/>
      <c r="C153" s="437"/>
      <c r="D153" s="187" t="s">
        <v>42</v>
      </c>
      <c r="E153" s="302"/>
      <c r="F153" s="188"/>
      <c r="G153" s="302"/>
      <c r="H153" s="188"/>
      <c r="I153" s="190"/>
      <c r="J153" s="190"/>
      <c r="K153" s="190">
        <v>0</v>
      </c>
      <c r="L153" s="303">
        <v>0</v>
      </c>
      <c r="M153" s="303">
        <f>K153</f>
        <v>0</v>
      </c>
      <c r="N153" s="304"/>
      <c r="O153" s="295">
        <f>L153+M153-N153</f>
        <v>0</v>
      </c>
    </row>
    <row r="154" spans="1:15" ht="16.2" thickBot="1" x14ac:dyDescent="0.35">
      <c r="A154" s="193"/>
      <c r="B154" s="193"/>
      <c r="C154" s="193"/>
      <c r="D154" s="194" t="s">
        <v>38</v>
      </c>
      <c r="E154" s="305"/>
      <c r="F154" s="195"/>
      <c r="G154" s="305"/>
      <c r="H154" s="195"/>
      <c r="I154" s="197"/>
      <c r="J154" s="197"/>
      <c r="K154" s="197"/>
      <c r="L154" s="306"/>
      <c r="M154" s="306"/>
      <c r="N154" s="307"/>
      <c r="O154" s="308">
        <f>SUM(O150:O153)</f>
        <v>1607175.1999999941</v>
      </c>
    </row>
    <row r="157" spans="1:15" ht="14.4" thickBot="1" x14ac:dyDescent="0.3"/>
    <row r="158" spans="1:15" ht="31.8" thickBot="1" x14ac:dyDescent="0.3">
      <c r="A158" s="160"/>
      <c r="B158" s="160" t="s">
        <v>0</v>
      </c>
      <c r="C158" s="176" t="s">
        <v>1</v>
      </c>
      <c r="D158" s="160"/>
      <c r="E158" s="176" t="s">
        <v>198</v>
      </c>
      <c r="F158" s="287" t="s">
        <v>199</v>
      </c>
      <c r="G158" s="176" t="s">
        <v>196</v>
      </c>
      <c r="H158" s="287" t="s">
        <v>9</v>
      </c>
      <c r="I158" s="160" t="s">
        <v>2</v>
      </c>
      <c r="J158" s="176" t="s">
        <v>10</v>
      </c>
      <c r="K158" s="176" t="s">
        <v>13</v>
      </c>
      <c r="L158" s="176" t="s">
        <v>14</v>
      </c>
      <c r="M158" s="288" t="s">
        <v>15</v>
      </c>
      <c r="N158" s="289" t="s">
        <v>11</v>
      </c>
      <c r="O158" s="290" t="s">
        <v>76</v>
      </c>
    </row>
    <row r="159" spans="1:15" ht="30.6" thickBot="1" x14ac:dyDescent="0.3">
      <c r="A159" s="291">
        <v>1</v>
      </c>
      <c r="B159" s="432" t="s">
        <v>182</v>
      </c>
      <c r="C159" s="435"/>
      <c r="D159" s="169" t="s">
        <v>35</v>
      </c>
      <c r="E159" s="292">
        <v>33809.599999999999</v>
      </c>
      <c r="F159" s="89">
        <v>46162</v>
      </c>
      <c r="G159" s="292">
        <v>34671.5</v>
      </c>
      <c r="H159" s="89">
        <v>46197</v>
      </c>
      <c r="I159" s="172">
        <f>G159-E159</f>
        <v>861.90000000000146</v>
      </c>
      <c r="J159" s="172"/>
      <c r="K159" s="172">
        <v>230</v>
      </c>
      <c r="L159" s="293">
        <v>0</v>
      </c>
      <c r="M159" s="293">
        <f>I159*K159</f>
        <v>198237.00000000035</v>
      </c>
      <c r="N159" s="294">
        <v>0</v>
      </c>
      <c r="O159" s="295">
        <f>L159+M159+J159-N159</f>
        <v>198237.00000000035</v>
      </c>
    </row>
    <row r="160" spans="1:15" ht="15.6" thickBot="1" x14ac:dyDescent="0.3">
      <c r="A160" s="291"/>
      <c r="B160" s="433"/>
      <c r="C160" s="436"/>
      <c r="D160" s="176" t="s">
        <v>36</v>
      </c>
      <c r="E160" s="288"/>
      <c r="F160" s="298"/>
      <c r="G160" s="288"/>
      <c r="H160" s="298"/>
      <c r="I160" s="172">
        <f>G160-E160</f>
        <v>0</v>
      </c>
      <c r="J160" s="172"/>
      <c r="K160" s="160"/>
      <c r="L160" s="296"/>
      <c r="M160" s="293">
        <f>I160*K160+J160</f>
        <v>0</v>
      </c>
      <c r="N160" s="297"/>
      <c r="O160" s="295">
        <f>L160+M160-N160</f>
        <v>0</v>
      </c>
    </row>
    <row r="161" spans="1:15" ht="30.6" thickBot="1" x14ac:dyDescent="0.3">
      <c r="A161" s="291"/>
      <c r="B161" s="433"/>
      <c r="C161" s="436"/>
      <c r="D161" s="180" t="s">
        <v>37</v>
      </c>
      <c r="F161" s="181"/>
      <c r="H161" s="181"/>
      <c r="I161" s="183"/>
      <c r="J161" s="183"/>
      <c r="K161" s="183"/>
      <c r="L161" s="299">
        <v>0</v>
      </c>
      <c r="M161" s="300">
        <f>K161</f>
        <v>0</v>
      </c>
      <c r="N161" s="301"/>
      <c r="O161" s="295">
        <f>L161+M161-N161</f>
        <v>0</v>
      </c>
    </row>
    <row r="162" spans="1:15" ht="30.6" thickBot="1" x14ac:dyDescent="0.3">
      <c r="A162" s="291"/>
      <c r="B162" s="434"/>
      <c r="C162" s="437"/>
      <c r="D162" s="187" t="s">
        <v>42</v>
      </c>
      <c r="E162" s="302"/>
      <c r="F162" s="188"/>
      <c r="G162" s="302"/>
      <c r="H162" s="188"/>
      <c r="I162" s="190"/>
      <c r="J162" s="190"/>
      <c r="K162" s="190">
        <v>0</v>
      </c>
      <c r="L162" s="303">
        <v>0</v>
      </c>
      <c r="M162" s="303">
        <f>K162</f>
        <v>0</v>
      </c>
      <c r="N162" s="304"/>
      <c r="O162" s="295">
        <f>L162+M162-N162</f>
        <v>0</v>
      </c>
    </row>
    <row r="163" spans="1:15" ht="16.2" thickBot="1" x14ac:dyDescent="0.35">
      <c r="A163" s="193"/>
      <c r="B163" s="193"/>
      <c r="C163" s="193"/>
      <c r="D163" s="194" t="s">
        <v>38</v>
      </c>
      <c r="E163" s="305"/>
      <c r="F163" s="195"/>
      <c r="G163" s="305"/>
      <c r="H163" s="195"/>
      <c r="I163" s="197"/>
      <c r="J163" s="197"/>
      <c r="K163" s="197"/>
      <c r="L163" s="306"/>
      <c r="M163" s="306"/>
      <c r="N163" s="307"/>
      <c r="O163" s="308">
        <f>SUM(O159:O162)</f>
        <v>198237.00000000035</v>
      </c>
    </row>
    <row r="165" spans="1:15" ht="14.4" thickBot="1" x14ac:dyDescent="0.3"/>
    <row r="166" spans="1:15" ht="15.6" thickBot="1" x14ac:dyDescent="0.3">
      <c r="B166" s="270" t="s">
        <v>187</v>
      </c>
      <c r="F166" s="219"/>
      <c r="H166" s="219"/>
    </row>
    <row r="167" spans="1:15" ht="15" x14ac:dyDescent="0.25">
      <c r="B167" s="270" t="s">
        <v>188</v>
      </c>
      <c r="F167" s="219"/>
      <c r="H167" s="219"/>
    </row>
  </sheetData>
  <autoFilter ref="A1:O167" xr:uid="{00000000-0001-0000-0200-000000000000}"/>
  <mergeCells count="38">
    <mergeCell ref="B140:B143"/>
    <mergeCell ref="C140:C143"/>
    <mergeCell ref="B150:B153"/>
    <mergeCell ref="C150:C153"/>
    <mergeCell ref="B159:B162"/>
    <mergeCell ref="C159:C162"/>
    <mergeCell ref="B108:B111"/>
    <mergeCell ref="C108:C111"/>
    <mergeCell ref="B119:B122"/>
    <mergeCell ref="C119:C122"/>
    <mergeCell ref="B129:B132"/>
    <mergeCell ref="C129:C132"/>
    <mergeCell ref="B6:B9"/>
    <mergeCell ref="C6:C9"/>
    <mergeCell ref="B44:B47"/>
    <mergeCell ref="C44:C47"/>
    <mergeCell ref="B16:B19"/>
    <mergeCell ref="C16:C19"/>
    <mergeCell ref="B98:B101"/>
    <mergeCell ref="C98:C101"/>
    <mergeCell ref="B74:B77"/>
    <mergeCell ref="C74:C77"/>
    <mergeCell ref="B82:B85"/>
    <mergeCell ref="C82:C85"/>
    <mergeCell ref="B89:B92"/>
    <mergeCell ref="C89:C92"/>
    <mergeCell ref="B67:B70"/>
    <mergeCell ref="C67:C70"/>
    <mergeCell ref="B37:B40"/>
    <mergeCell ref="C37:C40"/>
    <mergeCell ref="B23:B26"/>
    <mergeCell ref="C23:C26"/>
    <mergeCell ref="B30:B33"/>
    <mergeCell ref="C30:C33"/>
    <mergeCell ref="B51:B54"/>
    <mergeCell ref="C51:C54"/>
    <mergeCell ref="B59:B62"/>
    <mergeCell ref="C59:C6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برجB   </vt:lpstr>
      <vt:lpstr>برجA</vt:lpstr>
      <vt:lpstr>الخدمات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2026-06-27T14:31:58Z</dcterms:modified>
</cp:coreProperties>
</file>